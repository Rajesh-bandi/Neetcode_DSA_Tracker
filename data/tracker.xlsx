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rogress" sheetId="2" state="visible" r:id="rId4"/>
    <sheet name="Tracker" sheetId="3" state="visible" r:id="rId5"/>
  </sheets>
  <definedNames>
    <definedName function="false" hidden="true" localSheetId="2" name="_xlnm._FilterDatabase" vbProcedure="false">Tracker!$A$1:$S$151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<sst xmlns="http://schemas.openxmlformats.org/spreadsheetml/2006/main" count="708" uniqueCount="254">
  <si>
    <t xml:space="preserve">DSA in 12 Weeks: NeetCode 150 Re-Solve Tracker</t>
  </si>
  <si>
    <t xml:space="preserve">By Nihar (@niihaaarrrr). Problem list: NeetCode 150 by NeetCode (neetcode.io). Arranged into 12 weeks for this video.</t>
  </si>
  <si>
    <t xml:space="preserve">First, make your own copy</t>
  </si>
  <si>
    <t xml:space="preserve">Google Sheets: File &gt; Make a copy. Excel: download and save it. Only edit your copy.</t>
  </si>
  <si>
    <t xml:space="preserve">The rule this sheet is built on</t>
  </si>
  <si>
    <t xml:space="preserve">Solving a problem once is not learning it. A problem is yours only when you can solve it again on Day 30, on a blank page, without looking.</t>
  </si>
  <si>
    <t xml:space="preserve">The 6-step loop (do this for every problem)</t>
  </si>
  <si>
    <t xml:space="preserve">1. Set a 20-minute timer. Close the solution tab. Write whatever idea comes first, even brute force.</t>
  </si>
  <si>
    <t xml:space="preserve">2. Stuck after 20 minutes? Read the idea only (or watch the solution video), not the code. Close it and write the code yourself.</t>
  </si>
  <si>
    <t xml:space="preserve">3. Write Time and Space complexity at the top of your code. Every problem, every time.</t>
  </si>
  <si>
    <t xml:space="preserve">4. After Accepted, open the Discuss / Solutions tab. Find a second approach and compare the two.</t>
  </si>
  <si>
    <t xml:space="preserve">5. Name the pattern and write a one-line trigger: when you see X in a question, think Y.</t>
  </si>
  <si>
    <t xml:space="preserve">6. Record yourself explaining it in 2 minutes. Then re-solve it on Day 3, Day 7 and Day 30. Day 30 on paper, no compiler.</t>
  </si>
  <si>
    <t xml:space="preserve">How to fill the Tracker tab</t>
  </si>
  <si>
    <t xml:space="preserve">Yellow columns are yours to fill. Everything else fills itself.</t>
  </si>
  <si>
    <t xml:space="preserve">Day 1 date: the date you first solve it. Day 3, Day 7 and Day 30 due dates appear automatically.</t>
  </si>
  <si>
    <t xml:space="preserve">Time / Space, Pattern, Trigger line: write these yourself. Writing them is the learning.</t>
  </si>
  <si>
    <t xml:space="preserve">Day 3 / Day 7 / Day 30: pick Done or Redo from the dropdown on that day.</t>
  </si>
  <si>
    <t xml:space="preserve">Redo means you could not re-solve it. Change the Day 1 date to today and clear the Day 3, Day 7 and Day 30 boxes. The calendar restarts.</t>
  </si>
  <si>
    <t xml:space="preserve">Status tells you what to do: Re-solve due (do it today), In progress, Redo, or Mastered (Day 30 done).</t>
  </si>
  <si>
    <t xml:space="preserve">Premium problems have a free version link in the Free link column.</t>
  </si>
  <si>
    <t xml:space="preserve">Example row (filled correctly)</t>
  </si>
  <si>
    <t xml:space="preserve">Problem</t>
  </si>
  <si>
    <t xml:space="preserve">Day 1 date</t>
  </si>
  <si>
    <t xml:space="preserve">Time / Space</t>
  </si>
  <si>
    <t xml:space="preserve">Pattern</t>
  </si>
  <si>
    <t xml:space="preserve">Trigger line</t>
  </si>
  <si>
    <t xml:space="preserve">Day 3</t>
  </si>
  <si>
    <t xml:space="preserve">Day 7</t>
  </si>
  <si>
    <t xml:space="preserve">Day 30</t>
  </si>
  <si>
    <t xml:space="preserve">Sort Colors (LC 75)</t>
  </si>
  <si>
    <t xml:space="preserve">01-Nov-2026</t>
  </si>
  <si>
    <t xml:space="preserve">O(n) time, O(1) space, one pass</t>
  </si>
  <si>
    <t xml:space="preserve">Two pointers, partition</t>
  </si>
  <si>
    <t xml:space="preserve">Only 2 or 3 kinds of values, arrange in place: use pointers</t>
  </si>
  <si>
    <t xml:space="preserve">Done</t>
  </si>
  <si>
    <t xml:space="preserve">Daily routine (2 to 3 hours)</t>
  </si>
  <si>
    <t xml:space="preserve">1 to 2 new problems with the full 6-step loop.</t>
  </si>
  <si>
    <t xml:space="preserve">30 minutes: every re-solve marked Re-solve due on the Tracker (filter the Status column).</t>
  </si>
  <si>
    <t xml:space="preserve">30 minutes: core CS (OS, DBMS, SQL, OOP). From week 1, not after DSA.</t>
  </si>
  <si>
    <t xml:space="preserve">The 12 weeks</t>
  </si>
  <si>
    <t xml:space="preserve">Week 1: Arrays &amp; Hashing + Two Pointers  (14 problems)</t>
  </si>
  <si>
    <t xml:space="preserve">Week 2: Sliding Window + Stack  (13 problems)</t>
  </si>
  <si>
    <t xml:space="preserve">Week 3: Binary Search + Intervals  (13 problems)</t>
  </si>
  <si>
    <t xml:space="preserve">Week 4: Linked List  (11 problems)</t>
  </si>
  <si>
    <t xml:space="preserve">Week 5: Trees  (15 problems)</t>
  </si>
  <si>
    <t xml:space="preserve">Week 6: Heaps + Greedy  (15 problems)</t>
  </si>
  <si>
    <t xml:space="preserve">Week 7: Backtracking + Tries  (12 problems)</t>
  </si>
  <si>
    <t xml:space="preserve">Week 8: Graphs  (13 problems)</t>
  </si>
  <si>
    <t xml:space="preserve">Week 9: Advanced Graphs + Math &amp; Geometry  (14 problems)</t>
  </si>
  <si>
    <t xml:space="preserve">Week 10: 1-D Dynamic Programming  (12 problems)</t>
  </si>
  <si>
    <t xml:space="preserve">Week 11: 2-D Dynamic Programming  (11 problems)</t>
  </si>
  <si>
    <t xml:space="preserve">Week 12: Bit Manipulation + Full Revision  (7 problems)</t>
  </si>
  <si>
    <t xml:space="preserve">Week 12 has fewer new problems on purpose. Use the extra time to re-solve every problem not yet marked Mastered.</t>
  </si>
  <si>
    <t xml:space="preserve">Your progress</t>
  </si>
  <si>
    <t xml:space="preserve">Updates automatically from the Tracker tab. Mastered means the Day 30 re-solve is marked Done.</t>
  </si>
  <si>
    <t xml:space="preserve">Week</t>
  </si>
  <si>
    <t xml:space="preserve">Topic</t>
  </si>
  <si>
    <t xml:space="preserve">Problems</t>
  </si>
  <si>
    <t xml:space="preserve">Started</t>
  </si>
  <si>
    <t xml:space="preserve">Mastered (Day 30 done)</t>
  </si>
  <si>
    <t xml:space="preserve">% mastered</t>
  </si>
  <si>
    <t xml:space="preserve">Easy</t>
  </si>
  <si>
    <t xml:space="preserve">Medium</t>
  </si>
  <si>
    <t xml:space="preserve">Hard</t>
  </si>
  <si>
    <t xml:space="preserve">Arrays &amp; Hashing + Two Pointers</t>
  </si>
  <si>
    <t xml:space="preserve">Sliding Window + Stack</t>
  </si>
  <si>
    <t xml:space="preserve">Binary Search + Intervals</t>
  </si>
  <si>
    <t xml:space="preserve">Linked List</t>
  </si>
  <si>
    <t xml:space="preserve">Trees</t>
  </si>
  <si>
    <t xml:space="preserve">Heaps + Greedy</t>
  </si>
  <si>
    <t xml:space="preserve">Backtracking + Tries</t>
  </si>
  <si>
    <t xml:space="preserve">Graphs</t>
  </si>
  <si>
    <t xml:space="preserve">Advanced Graphs + Math &amp; Geometry</t>
  </si>
  <si>
    <t xml:space="preserve">1-D Dynamic Programming</t>
  </si>
  <si>
    <t xml:space="preserve">2-D Dynamic Programming</t>
  </si>
  <si>
    <t xml:space="preserve">Bit Manipulation + Full Revision</t>
  </si>
  <si>
    <t xml:space="preserve">Total</t>
  </si>
  <si>
    <t xml:space="preserve">Re-solves due today</t>
  </si>
  <si>
    <t xml:space="preserve">Marked Redo (restart these)</t>
  </si>
  <si>
    <t xml:space="preserve">#</t>
  </si>
  <si>
    <t xml:space="preserve">Problem (opens LeetCode)</t>
  </si>
  <si>
    <t xml:space="preserve">Difficulty</t>
  </si>
  <si>
    <t xml:space="preserve">Free link (premium only)</t>
  </si>
  <si>
    <t xml:space="preserve">Solution video (only after 20 min)</t>
  </si>
  <si>
    <t xml:space="preserve">Day 3 due</t>
  </si>
  <si>
    <t xml:space="preserve">Day 7 due</t>
  </si>
  <si>
    <t xml:space="preserve">Day 30 due</t>
  </si>
  <si>
    <t xml:space="preserve">Next re-solve</t>
  </si>
  <si>
    <t xml:space="preserve">Status</t>
  </si>
  <si>
    <t xml:space="preserve">Arrays &amp; Hashing</t>
  </si>
  <si>
    <t xml:space="preserve">Contains Duplicate</t>
  </si>
  <si>
    <t xml:space="preserve">Watch</t>
  </si>
  <si>
    <t xml:space="preserve">Valid Anagram</t>
  </si>
  <si>
    <t xml:space="preserve">Two Sum</t>
  </si>
  <si>
    <t xml:space="preserve">Group Anagrams</t>
  </si>
  <si>
    <t xml:space="preserve">Top K Frequent Elements</t>
  </si>
  <si>
    <t xml:space="preserve">Product of Array Except Self</t>
  </si>
  <si>
    <t xml:space="preserve">Valid Sudoku</t>
  </si>
  <si>
    <t xml:space="preserve">Encode and Decode Strings</t>
  </si>
  <si>
    <t xml:space="preserve">Free version</t>
  </si>
  <si>
    <t xml:space="preserve">Longest Consecutive Sequence</t>
  </si>
  <si>
    <t xml:space="preserve">Two Pointers</t>
  </si>
  <si>
    <t xml:space="preserve">Valid Palindrome</t>
  </si>
  <si>
    <t xml:space="preserve">Two Sum II (Input Array Is Sorted)</t>
  </si>
  <si>
    <t xml:space="preserve">3Sum</t>
  </si>
  <si>
    <t xml:space="preserve">Container With Most Water</t>
  </si>
  <si>
    <t xml:space="preserve">Trapping Rain Water</t>
  </si>
  <si>
    <t xml:space="preserve">Sliding Window</t>
  </si>
  <si>
    <t xml:space="preserve">Best Time to Buy And Sell Stock</t>
  </si>
  <si>
    <t xml:space="preserve">Longest Substring Without Repeating Characters</t>
  </si>
  <si>
    <t xml:space="preserve">Longest Repeating Character Replacement</t>
  </si>
  <si>
    <t xml:space="preserve">Permutation In String</t>
  </si>
  <si>
    <t xml:space="preserve">Minimum Window Substring</t>
  </si>
  <si>
    <t xml:space="preserve">Sliding Window Maximum</t>
  </si>
  <si>
    <t xml:space="preserve">Stack</t>
  </si>
  <si>
    <t xml:space="preserve">Valid Parentheses</t>
  </si>
  <si>
    <t xml:space="preserve">Min Stack</t>
  </si>
  <si>
    <t xml:space="preserve">Evaluate Reverse Polish Notation</t>
  </si>
  <si>
    <t xml:space="preserve">Generate Parentheses</t>
  </si>
  <si>
    <t xml:space="preserve">Daily Temperatures</t>
  </si>
  <si>
    <t xml:space="preserve">Car Fleet</t>
  </si>
  <si>
    <t xml:space="preserve">Largest Rectangle In Histogram</t>
  </si>
  <si>
    <t xml:space="preserve">Binary Search</t>
  </si>
  <si>
    <t xml:space="preserve">Search a 2D Matrix</t>
  </si>
  <si>
    <t xml:space="preserve">Koko Eating Bananas</t>
  </si>
  <si>
    <t xml:space="preserve">Find Minimum In Rotated Sorted Array</t>
  </si>
  <si>
    <t xml:space="preserve">Search In Rotated Sorted Array</t>
  </si>
  <si>
    <t xml:space="preserve">Time Based Key-Value Store</t>
  </si>
  <si>
    <t xml:space="preserve">Median of Two Sorted Arrays</t>
  </si>
  <si>
    <t xml:space="preserve">Intervals</t>
  </si>
  <si>
    <t xml:space="preserve">Meeting Rooms</t>
  </si>
  <si>
    <t xml:space="preserve">Insert Interval</t>
  </si>
  <si>
    <t xml:space="preserve">Merge Intervals</t>
  </si>
  <si>
    <t xml:space="preserve">Non-overlapping Intervals</t>
  </si>
  <si>
    <t xml:space="preserve">Meeting Rooms II</t>
  </si>
  <si>
    <t xml:space="preserve">Minimum Interval to Include Each Query</t>
  </si>
  <si>
    <t xml:space="preserve">Reverse Linked List</t>
  </si>
  <si>
    <t xml:space="preserve">Merge Two Sorted Lists</t>
  </si>
  <si>
    <t xml:space="preserve">Linked List Cycle</t>
  </si>
  <si>
    <t xml:space="preserve">Reorder List</t>
  </si>
  <si>
    <t xml:space="preserve">Remove Nth Node From End of List</t>
  </si>
  <si>
    <t xml:space="preserve">Copy List With Random Pointer</t>
  </si>
  <si>
    <t xml:space="preserve">Add Two Numbers</t>
  </si>
  <si>
    <t xml:space="preserve">Find The Duplicate Number</t>
  </si>
  <si>
    <t xml:space="preserve">LRU Cache</t>
  </si>
  <si>
    <t xml:space="preserve">Merge k Sorted Lists</t>
  </si>
  <si>
    <t xml:space="preserve">Reverse Nodes in k-Group</t>
  </si>
  <si>
    <t xml:space="preserve">Invert Binary Tree</t>
  </si>
  <si>
    <t xml:space="preserve">Maximum Depth of Binary Tree</t>
  </si>
  <si>
    <t xml:space="preserve">Diameter of Binary Tree</t>
  </si>
  <si>
    <t xml:space="preserve">Balanced Binary Tree</t>
  </si>
  <si>
    <t xml:space="preserve">Same Tree</t>
  </si>
  <si>
    <t xml:space="preserve">Subtree of Another Tree</t>
  </si>
  <si>
    <t xml:space="preserve">Lowest Common Ancestor of a Binary Search Tree</t>
  </si>
  <si>
    <t xml:space="preserve">Binary Tree Level Order Traversal</t>
  </si>
  <si>
    <t xml:space="preserve">Binary Tree Right Side View</t>
  </si>
  <si>
    <t xml:space="preserve">Count Good Nodes In Binary Tree</t>
  </si>
  <si>
    <t xml:space="preserve">Validate Binary Search Tree</t>
  </si>
  <si>
    <t xml:space="preserve">Kth Smallest Element in a BST</t>
  </si>
  <si>
    <t xml:space="preserve">Construct Binary Tree From Preorder And Inorder Traversal</t>
  </si>
  <si>
    <t xml:space="preserve">Binary Tree Maximum Path Sum</t>
  </si>
  <si>
    <t xml:space="preserve">Serialize And Deserialize Binary Tree</t>
  </si>
  <si>
    <t xml:space="preserve">Heap / Priority Queue</t>
  </si>
  <si>
    <t xml:space="preserve">Kth Largest Element In a Stream</t>
  </si>
  <si>
    <t xml:space="preserve">Last Stone Weight</t>
  </si>
  <si>
    <t xml:space="preserve">K Closest Points to Origin</t>
  </si>
  <si>
    <t xml:space="preserve">Kth Largest Element In An Array</t>
  </si>
  <si>
    <t xml:space="preserve">Task Scheduler</t>
  </si>
  <si>
    <t xml:space="preserve">Design Twitter</t>
  </si>
  <si>
    <t xml:space="preserve">Find Median From Data Stream</t>
  </si>
  <si>
    <t xml:space="preserve">Greedy</t>
  </si>
  <si>
    <t xml:space="preserve">Maximum Subarray</t>
  </si>
  <si>
    <t xml:space="preserve">Jump Game</t>
  </si>
  <si>
    <t xml:space="preserve">Jump Game II</t>
  </si>
  <si>
    <t xml:space="preserve">Gas Station</t>
  </si>
  <si>
    <t xml:space="preserve">Hand of Straights</t>
  </si>
  <si>
    <t xml:space="preserve">Merge Triplets to Form Target Triplet</t>
  </si>
  <si>
    <t xml:space="preserve">Partition Labels</t>
  </si>
  <si>
    <t xml:space="preserve">Valid Parenthesis String</t>
  </si>
  <si>
    <t xml:space="preserve">Backtracking</t>
  </si>
  <si>
    <t xml:space="preserve">Subsets</t>
  </si>
  <si>
    <t xml:space="preserve">Combination Sum</t>
  </si>
  <si>
    <t xml:space="preserve">Permutations</t>
  </si>
  <si>
    <t xml:space="preserve">Subsets II</t>
  </si>
  <si>
    <t xml:space="preserve">Combination Sum II</t>
  </si>
  <si>
    <t xml:space="preserve">Word Search</t>
  </si>
  <si>
    <t xml:space="preserve">Palindrome Partitioning</t>
  </si>
  <si>
    <t xml:space="preserve">Letter Combinations of a Phone Number</t>
  </si>
  <si>
    <t xml:space="preserve">N-Queens</t>
  </si>
  <si>
    <t xml:space="preserve">Tries</t>
  </si>
  <si>
    <t xml:space="preserve">Implement Trie (Prefix Tree)</t>
  </si>
  <si>
    <t xml:space="preserve">Design Add And Search Words Data Structure</t>
  </si>
  <si>
    <t xml:space="preserve">Word Search II</t>
  </si>
  <si>
    <t xml:space="preserve">Number of Islands</t>
  </si>
  <si>
    <t xml:space="preserve">Clone Graph</t>
  </si>
  <si>
    <t xml:space="preserve">Max Area of Island</t>
  </si>
  <si>
    <t xml:space="preserve">Pacific Atlantic Water Flow</t>
  </si>
  <si>
    <t xml:space="preserve">Surrounded Regions</t>
  </si>
  <si>
    <t xml:space="preserve">Rotting Oranges</t>
  </si>
  <si>
    <t xml:space="preserve">Walls And Gates</t>
  </si>
  <si>
    <t xml:space="preserve">Course Schedule</t>
  </si>
  <si>
    <t xml:space="preserve">Course Schedule II</t>
  </si>
  <si>
    <t xml:space="preserve">Redundant Connection</t>
  </si>
  <si>
    <t xml:space="preserve">Number of Connected Components In An Undirected Graph</t>
  </si>
  <si>
    <t xml:space="preserve">Graph Valid Tree</t>
  </si>
  <si>
    <t xml:space="preserve">Word Ladder</t>
  </si>
  <si>
    <t xml:space="preserve">Advanced Graphs</t>
  </si>
  <si>
    <t xml:space="preserve">Min Cost to Connect All Points</t>
  </si>
  <si>
    <t xml:space="preserve">Network Delay Time</t>
  </si>
  <si>
    <t xml:space="preserve">Cheapest Flights Within K Stops</t>
  </si>
  <si>
    <t xml:space="preserve">Reconstruct Itinerary</t>
  </si>
  <si>
    <t xml:space="preserve">Swim In Rising Water</t>
  </si>
  <si>
    <t xml:space="preserve">Alien Dictionary</t>
  </si>
  <si>
    <t xml:space="preserve">Math &amp; Geometry</t>
  </si>
  <si>
    <t xml:space="preserve">Happy Number</t>
  </si>
  <si>
    <t xml:space="preserve">Plus One</t>
  </si>
  <si>
    <t xml:space="preserve">Rotate Image</t>
  </si>
  <si>
    <t xml:space="preserve">Spiral Matrix</t>
  </si>
  <si>
    <t xml:space="preserve">Set Matrix Zeroes</t>
  </si>
  <si>
    <t xml:space="preserve">Pow(x, n)</t>
  </si>
  <si>
    <t xml:space="preserve">Multiply Strings</t>
  </si>
  <si>
    <t xml:space="preserve">Detect Squares</t>
  </si>
  <si>
    <t xml:space="preserve">Climbing Stairs</t>
  </si>
  <si>
    <t xml:space="preserve">Min Cost Climbing Stairs</t>
  </si>
  <si>
    <t xml:space="preserve">House Robber</t>
  </si>
  <si>
    <t xml:space="preserve">House Robber II</t>
  </si>
  <si>
    <t xml:space="preserve">Longest Palindromic Substring</t>
  </si>
  <si>
    <t xml:space="preserve">Palindromic Substrings</t>
  </si>
  <si>
    <t xml:space="preserve">Decode Ways</t>
  </si>
  <si>
    <t xml:space="preserve">Coin Change</t>
  </si>
  <si>
    <t xml:space="preserve">Maximum Product Subarray</t>
  </si>
  <si>
    <t xml:space="preserve">Word Break</t>
  </si>
  <si>
    <t xml:space="preserve">Longest Increasing Subsequence</t>
  </si>
  <si>
    <t xml:space="preserve">Partition Equal Subset Sum</t>
  </si>
  <si>
    <t xml:space="preserve">Unique Paths</t>
  </si>
  <si>
    <t xml:space="preserve">Longest Common Subsequence</t>
  </si>
  <si>
    <t xml:space="preserve">Best Time to Buy And Sell Stock With Cooldown</t>
  </si>
  <si>
    <t xml:space="preserve">Coin Change II</t>
  </si>
  <si>
    <t xml:space="preserve">Target Sum</t>
  </si>
  <si>
    <t xml:space="preserve">Interleaving String</t>
  </si>
  <si>
    <t xml:space="preserve">Edit Distance</t>
  </si>
  <si>
    <t xml:space="preserve">Longest Increasing Path In a Matrix</t>
  </si>
  <si>
    <t xml:space="preserve">Distinct Subsequences</t>
  </si>
  <si>
    <t xml:space="preserve">Burst Balloons</t>
  </si>
  <si>
    <t xml:space="preserve">Regular Expression Matching</t>
  </si>
  <si>
    <t xml:space="preserve">Bit Manipulation</t>
  </si>
  <si>
    <t xml:space="preserve">Single Number</t>
  </si>
  <si>
    <t xml:space="preserve">Number of 1 Bits</t>
  </si>
  <si>
    <t xml:space="preserve">Counting Bits</t>
  </si>
  <si>
    <t xml:space="preserve">Reverse Bits</t>
  </si>
  <si>
    <t xml:space="preserve">Missing Number</t>
  </si>
  <si>
    <t xml:space="preserve">Sum of Two Integers</t>
  </si>
  <si>
    <t xml:space="preserve">Reverse Integer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</si>
</sst>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dd\-mmm\-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0"/>
      <color rgb="FF1D4ED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7CC"/>
        <bgColor rgb="FFF3F4F6"/>
      </patternFill>
    </fill>
    <fill>
      <patternFill patternType="solid">
        <fgColor rgb="FFE5E7EB"/>
        <bgColor rgb="FFF3F4F6"/>
      </patternFill>
    </fill>
    <fill>
      <patternFill patternType="solid">
        <fgColor rgb="FFB45309"/>
        <bgColor rgb="FF92400E"/>
      </patternFill>
    </fill>
    <fill>
      <patternFill patternType="solid">
        <fgColor rgb="FFF3F4F6"/>
        <bgColor rgb="FFFFFFFF"/>
      </patternFill>
    </fill>
    <fill>
      <patternFill patternType="solid">
        <fgColor rgb="FFFFFFFF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>
          <bgColor rgb="FFBBF7D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>
          <bgColor rgb="FFFECACA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BBF7D0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CACA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DE68A"/>
        </patternFill>
      </fill>
    </dxf>
    <dxf>
      <font>
        <name val="Arial"/>
        <charset val="1"/>
        <family val="0"/>
        <b val="1"/>
        <color rgb="FFB91C1C"/>
      </font>
    </dxf>
    <dxf>
      <font>
        <name val="Arial"/>
        <charset val="1"/>
        <family val="0"/>
        <color rgb="FF15803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5803D"/>
      <rgbColor rgb="FF000080"/>
      <rgbColor rgb="FF808000"/>
      <rgbColor rgb="FF800080"/>
      <rgbColor rgb="FF166534"/>
      <rgbColor rgb="FFC0C0C0"/>
      <rgbColor rgb="FF808080"/>
      <rgbColor rgb="FF9999FF"/>
      <rgbColor rgb="FFB91C1C"/>
      <rgbColor rgb="FFFFF7CC"/>
      <rgbColor rgb="FFF3F4F6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BBF7D0"/>
      <rgbColor rgb="FFFDE68A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B45309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contains-duplicate/" TargetMode="External"/><Relationship Id="rId2" Type="http://schemas.openxmlformats.org/officeDocument/2006/relationships/hyperlink" Target="https://www.youtube.com/watch?v=3OamzN90kPg" TargetMode="External"/><Relationship Id="rId3" Type="http://schemas.openxmlformats.org/officeDocument/2006/relationships/hyperlink" Target="https://leetcode.com/problems/valid-anagram/" TargetMode="External"/><Relationship Id="rId4" Type="http://schemas.openxmlformats.org/officeDocument/2006/relationships/hyperlink" Target="https://www.youtube.com/watch?v=9UtInBqnCgA" TargetMode="External"/><Relationship Id="rId5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www.youtube.com/watch?v=KLlXCFG5TnA" TargetMode="External"/><Relationship Id="rId7" Type="http://schemas.openxmlformats.org/officeDocument/2006/relationships/hyperlink" Target="https://leetcode.com/problems/group-anagrams/" TargetMode="External"/><Relationship Id="rId8" Type="http://schemas.openxmlformats.org/officeDocument/2006/relationships/hyperlink" Target="https://www.youtube.com/watch?v=vzdNOK2oB2E" TargetMode="External"/><Relationship Id="rId9" Type="http://schemas.openxmlformats.org/officeDocument/2006/relationships/hyperlink" Target="https://leetcode.com/problems/top-k-frequent-elements/" TargetMode="External"/><Relationship Id="rId10" Type="http://schemas.openxmlformats.org/officeDocument/2006/relationships/hyperlink" Target="https://www.youtube.com/watch?v=YPTqKIgVk-k" TargetMode="External"/><Relationship Id="rId11" Type="http://schemas.openxmlformats.org/officeDocument/2006/relationships/hyperlink" Target="https://leetcode.com/problems/product-of-array-except-self/" TargetMode="External"/><Relationship Id="rId12" Type="http://schemas.openxmlformats.org/officeDocument/2006/relationships/hyperlink" Target="https://www.youtube.com/watch?v=bNvIQI2wAjk" TargetMode="External"/><Relationship Id="rId13" Type="http://schemas.openxmlformats.org/officeDocument/2006/relationships/hyperlink" Target="https://leetcode.com/problems/valid-sudoku/" TargetMode="External"/><Relationship Id="rId14" Type="http://schemas.openxmlformats.org/officeDocument/2006/relationships/hyperlink" Target="https://www.youtube.com/watch?v=TjFXEUCMqI8" TargetMode="External"/><Relationship Id="rId15" Type="http://schemas.openxmlformats.org/officeDocument/2006/relationships/hyperlink" Target="https://leetcode.com/problems/encode-and-decode-strings/" TargetMode="External"/><Relationship Id="rId16" Type="http://schemas.openxmlformats.org/officeDocument/2006/relationships/hyperlink" Target="https://www.lintcode.com/problem/659/" TargetMode="External"/><Relationship Id="rId17" Type="http://schemas.openxmlformats.org/officeDocument/2006/relationships/hyperlink" Target="https://www.youtube.com/watch?v=B1k_sxOSgv8" TargetMode="External"/><Relationship Id="rId18" Type="http://schemas.openxmlformats.org/officeDocument/2006/relationships/hyperlink" Target="https://leetcode.com/problems/longest-consecutive-sequence/" TargetMode="External"/><Relationship Id="rId19" Type="http://schemas.openxmlformats.org/officeDocument/2006/relationships/hyperlink" Target="https://www.youtube.com/watch?v=P6RZZMu_maU" TargetMode="External"/><Relationship Id="rId20" Type="http://schemas.openxmlformats.org/officeDocument/2006/relationships/hyperlink" Target="https://leetcode.com/problems/valid-palindrome/" TargetMode="External"/><Relationship Id="rId21" Type="http://schemas.openxmlformats.org/officeDocument/2006/relationships/hyperlink" Target="https://www.youtube.com/watch?v=jJXJ16kPFWg" TargetMode="External"/><Relationship Id="rId22" Type="http://schemas.openxmlformats.org/officeDocument/2006/relationships/hyperlink" Target="https://leetcode.com/problems/two-sum-ii-input-array-is-sorted/" TargetMode="External"/><Relationship Id="rId23" Type="http://schemas.openxmlformats.org/officeDocument/2006/relationships/hyperlink" Target="https://www.youtube.com/watch?v=cQ1Oz4ckceM" TargetMode="External"/><Relationship Id="rId24" Type="http://schemas.openxmlformats.org/officeDocument/2006/relationships/hyperlink" Target="https://leetcode.com/problems/3sum/" TargetMode="External"/><Relationship Id="rId25" Type="http://schemas.openxmlformats.org/officeDocument/2006/relationships/hyperlink" Target="https://www.youtube.com/watch?v=jzZsG8n2R9A" TargetMode="External"/><Relationship Id="rId26" Type="http://schemas.openxmlformats.org/officeDocument/2006/relationships/hyperlink" Target="https://leetcode.com/problems/container-with-most-water/" TargetMode="External"/><Relationship Id="rId27" Type="http://schemas.openxmlformats.org/officeDocument/2006/relationships/hyperlink" Target="https://www.youtube.com/watch?v=UuiTKBwPgAo" TargetMode="External"/><Relationship Id="rId28" Type="http://schemas.openxmlformats.org/officeDocument/2006/relationships/hyperlink" Target="https://leetcode.com/problems/trapping-rain-water/" TargetMode="External"/><Relationship Id="rId29" Type="http://schemas.openxmlformats.org/officeDocument/2006/relationships/hyperlink" Target="https://www.youtube.com/watch?v=ZI2z5pq0TqA" TargetMode="External"/><Relationship Id="rId30" Type="http://schemas.openxmlformats.org/officeDocument/2006/relationships/hyperlink" Target="https://leetcode.com/problems/best-time-to-buy-and-sell-stock/" TargetMode="External"/><Relationship Id="rId31" Type="http://schemas.openxmlformats.org/officeDocument/2006/relationships/hyperlink" Target="https://www.youtube.com/watch?v=1pkOgXD63yU" TargetMode="External"/><Relationship Id="rId32" Type="http://schemas.openxmlformats.org/officeDocument/2006/relationships/hyperlink" Target="https://leetcode.com/problems/longest-substring-without-repeating-characters/" TargetMode="External"/><Relationship Id="rId33" Type="http://schemas.openxmlformats.org/officeDocument/2006/relationships/hyperlink" Target="https://www.youtube.com/watch?v=wiGpQwVHdE0" TargetMode="External"/><Relationship Id="rId34" Type="http://schemas.openxmlformats.org/officeDocument/2006/relationships/hyperlink" Target="https://leetcode.com/problems/longest-repeating-character-replacement/" TargetMode="External"/><Relationship Id="rId35" Type="http://schemas.openxmlformats.org/officeDocument/2006/relationships/hyperlink" Target="https://www.youtube.com/watch?v=gqXU1UyA8pk" TargetMode="External"/><Relationship Id="rId36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www.youtube.com/watch?v=UbyhOgBN834" TargetMode="External"/><Relationship Id="rId38" Type="http://schemas.openxmlformats.org/officeDocument/2006/relationships/hyperlink" Target="https://leetcode.com/problems/minimum-window-substring/" TargetMode="External"/><Relationship Id="rId39" Type="http://schemas.openxmlformats.org/officeDocument/2006/relationships/hyperlink" Target="https://www.youtube.com/watch?v=jSto0O4AJbM" TargetMode="External"/><Relationship Id="rId40" Type="http://schemas.openxmlformats.org/officeDocument/2006/relationships/hyperlink" Target="https://leetcode.com/problems/sliding-window-maximum/" TargetMode="External"/><Relationship Id="rId41" Type="http://schemas.openxmlformats.org/officeDocument/2006/relationships/hyperlink" Target="https://www.youtube.com/watch?v=DfljaUwZsOk" TargetMode="External"/><Relationship Id="rId42" Type="http://schemas.openxmlformats.org/officeDocument/2006/relationships/hyperlink" Target="https://leetcode.com/problems/valid-parentheses/" TargetMode="External"/><Relationship Id="rId43" Type="http://schemas.openxmlformats.org/officeDocument/2006/relationships/hyperlink" Target="https://www.youtube.com/watch?v=WTzjTskDFMg" TargetMode="External"/><Relationship Id="rId44" Type="http://schemas.openxmlformats.org/officeDocument/2006/relationships/hyperlink" Target="https://leetcode.com/problems/min-stack/" TargetMode="External"/><Relationship Id="rId45" Type="http://schemas.openxmlformats.org/officeDocument/2006/relationships/hyperlink" Target="https://www.youtube.com/watch?v=qkLl7nAwDPo" TargetMode="External"/><Relationship Id="rId46" Type="http://schemas.openxmlformats.org/officeDocument/2006/relationships/hyperlink" Target="https://leetcode.com/problems/evaluate-reverse-polish-notation/" TargetMode="External"/><Relationship Id="rId47" Type="http://schemas.openxmlformats.org/officeDocument/2006/relationships/hyperlink" Target="https://www.youtube.com/watch?v=iu0082c4HDE" TargetMode="External"/><Relationship Id="rId48" Type="http://schemas.openxmlformats.org/officeDocument/2006/relationships/hyperlink" Target="https://leetcode.com/problems/generate-parentheses/" TargetMode="External"/><Relationship Id="rId49" Type="http://schemas.openxmlformats.org/officeDocument/2006/relationships/hyperlink" Target="https://www.youtube.com/watch?v=s9fokUqJ76A" TargetMode="External"/><Relationship Id="rId50" Type="http://schemas.openxmlformats.org/officeDocument/2006/relationships/hyperlink" Target="https://leetcode.com/problems/daily-temperatures/" TargetMode="External"/><Relationship Id="rId51" Type="http://schemas.openxmlformats.org/officeDocument/2006/relationships/hyperlink" Target="https://www.youtube.com/watch?v=cTBiBSnjO3c" TargetMode="External"/><Relationship Id="rId52" Type="http://schemas.openxmlformats.org/officeDocument/2006/relationships/hyperlink" Target="https://leetcode.com/problems/car-fleet/" TargetMode="External"/><Relationship Id="rId53" Type="http://schemas.openxmlformats.org/officeDocument/2006/relationships/hyperlink" Target="https://www.youtube.com/watch?v=Pr6T-3yB9RM" TargetMode="External"/><Relationship Id="rId54" Type="http://schemas.openxmlformats.org/officeDocument/2006/relationships/hyperlink" Target="https://leetcode.com/problems/largest-rectangle-in-histogram/" TargetMode="External"/><Relationship Id="rId55" Type="http://schemas.openxmlformats.org/officeDocument/2006/relationships/hyperlink" Target="https://www.youtube.com/watch?v=zx5Sw9130L0" TargetMode="External"/><Relationship Id="rId56" Type="http://schemas.openxmlformats.org/officeDocument/2006/relationships/hyperlink" Target="https://leetcode.com/problems/binary-search/" TargetMode="External"/><Relationship Id="rId57" Type="http://schemas.openxmlformats.org/officeDocument/2006/relationships/hyperlink" Target="https://www.youtube.com/watch?v=s4DPM8ct1pI" TargetMode="External"/><Relationship Id="rId58" Type="http://schemas.openxmlformats.org/officeDocument/2006/relationships/hyperlink" Target="https://leetcode.com/problems/search-a-2d-matrix/" TargetMode="External"/><Relationship Id="rId59" Type="http://schemas.openxmlformats.org/officeDocument/2006/relationships/hyperlink" Target="https://www.youtube.com/watch?v=Ber2pi2C0j0" TargetMode="External"/><Relationship Id="rId60" Type="http://schemas.openxmlformats.org/officeDocument/2006/relationships/hyperlink" Target="https://leetcode.com/problems/koko-eating-bananas/" TargetMode="External"/><Relationship Id="rId61" Type="http://schemas.openxmlformats.org/officeDocument/2006/relationships/hyperlink" Target="https://www.youtube.com/watch?v=U2SozAs9RzA" TargetMode="External"/><Relationship Id="rId62" Type="http://schemas.openxmlformats.org/officeDocument/2006/relationships/hyperlink" Target="https://leetcode.com/problems/find-minimum-in-rotated-sorted-array/" TargetMode="External"/><Relationship Id="rId63" Type="http://schemas.openxmlformats.org/officeDocument/2006/relationships/hyperlink" Target="https://www.youtube.com/watch?v=nIVW4P8b1VA" TargetMode="External"/><Relationship Id="rId64" Type="http://schemas.openxmlformats.org/officeDocument/2006/relationships/hyperlink" Target="https://leetcode.com/problems/search-in-rotated-sorted-array/" TargetMode="External"/><Relationship Id="rId65" Type="http://schemas.openxmlformats.org/officeDocument/2006/relationships/hyperlink" Target="https://www.youtube.com/watch?v=U8XENwh8Oy8" TargetMode="External"/><Relationship Id="rId66" Type="http://schemas.openxmlformats.org/officeDocument/2006/relationships/hyperlink" Target="https://leetcode.com/problems/time-based-key-value-store/" TargetMode="External"/><Relationship Id="rId67" Type="http://schemas.openxmlformats.org/officeDocument/2006/relationships/hyperlink" Target="https://www.youtube.com/watch?v=fu2cD_6E8Hw" TargetMode="External"/><Relationship Id="rId68" Type="http://schemas.openxmlformats.org/officeDocument/2006/relationships/hyperlink" Target="https://leetcode.com/problems/median-of-two-sorted-arrays/" TargetMode="External"/><Relationship Id="rId69" Type="http://schemas.openxmlformats.org/officeDocument/2006/relationships/hyperlink" Target="https://www.youtube.com/watch?v=q6IEA26hvXc" TargetMode="External"/><Relationship Id="rId70" Type="http://schemas.openxmlformats.org/officeDocument/2006/relationships/hyperlink" Target="https://leetcode.com/problems/meeting-rooms/" TargetMode="External"/><Relationship Id="rId71" Type="http://schemas.openxmlformats.org/officeDocument/2006/relationships/hyperlink" Target="https://www.lintcode.com/problem/920/" TargetMode="External"/><Relationship Id="rId72" Type="http://schemas.openxmlformats.org/officeDocument/2006/relationships/hyperlink" Target="https://www.youtube.com/watch?v=PaJxqZVPhbg" TargetMode="External"/><Relationship Id="rId73" Type="http://schemas.openxmlformats.org/officeDocument/2006/relationships/hyperlink" Target="https://leetcode.com/problems/insert-interval/" TargetMode="External"/><Relationship Id="rId74" Type="http://schemas.openxmlformats.org/officeDocument/2006/relationships/hyperlink" Target="https://www.youtube.com/watch?v=A8NUOmlwOlM" TargetMode="External"/><Relationship Id="rId75" Type="http://schemas.openxmlformats.org/officeDocument/2006/relationships/hyperlink" Target="https://leetcode.com/problems/merge-intervals/" TargetMode="External"/><Relationship Id="rId76" Type="http://schemas.openxmlformats.org/officeDocument/2006/relationships/hyperlink" Target="https://www.youtube.com/watch?v=44H3cEC2fFM" TargetMode="External"/><Relationship Id="rId77" Type="http://schemas.openxmlformats.org/officeDocument/2006/relationships/hyperlink" Target="https://leetcode.com/problems/non-overlapping-intervals/" TargetMode="External"/><Relationship Id="rId78" Type="http://schemas.openxmlformats.org/officeDocument/2006/relationships/hyperlink" Target="https://www.youtube.com/watch?v=nONCGxWoUfM" TargetMode="External"/><Relationship Id="rId79" Type="http://schemas.openxmlformats.org/officeDocument/2006/relationships/hyperlink" Target="https://leetcode.com/problems/meeting-rooms-ii/" TargetMode="External"/><Relationship Id="rId80" Type="http://schemas.openxmlformats.org/officeDocument/2006/relationships/hyperlink" Target="https://www.lintcode.com/problem/919/" TargetMode="External"/><Relationship Id="rId81" Type="http://schemas.openxmlformats.org/officeDocument/2006/relationships/hyperlink" Target="https://www.youtube.com/watch?v=FdzJmTCVyJU" TargetMode="External"/><Relationship Id="rId82" Type="http://schemas.openxmlformats.org/officeDocument/2006/relationships/hyperlink" Target="https://leetcode.com/problems/minimum-interval-to-include-each-query/" TargetMode="External"/><Relationship Id="rId83" Type="http://schemas.openxmlformats.org/officeDocument/2006/relationships/hyperlink" Target="https://www.youtube.com/watch?v=5hQ5WWW5awQ" TargetMode="External"/><Relationship Id="rId84" Type="http://schemas.openxmlformats.org/officeDocument/2006/relationships/hyperlink" Target="https://leetcode.com/problems/reverse-linked-list/" TargetMode="External"/><Relationship Id="rId85" Type="http://schemas.openxmlformats.org/officeDocument/2006/relationships/hyperlink" Target="https://www.youtube.com/watch?v=G0_I-ZF0S38" TargetMode="External"/><Relationship Id="rId86" Type="http://schemas.openxmlformats.org/officeDocument/2006/relationships/hyperlink" Target="https://leetcode.com/problems/merge-two-sorted-lists/" TargetMode="External"/><Relationship Id="rId87" Type="http://schemas.openxmlformats.org/officeDocument/2006/relationships/hyperlink" Target="https://www.youtube.com/watch?v=XIdigk956u0" TargetMode="External"/><Relationship Id="rId88" Type="http://schemas.openxmlformats.org/officeDocument/2006/relationships/hyperlink" Target="https://leetcode.com/problems/linked-list-cycle/" TargetMode="External"/><Relationship Id="rId89" Type="http://schemas.openxmlformats.org/officeDocument/2006/relationships/hyperlink" Target="https://www.youtube.com/watch?v=gBTe7lFR3vc" TargetMode="External"/><Relationship Id="rId90" Type="http://schemas.openxmlformats.org/officeDocument/2006/relationships/hyperlink" Target="https://leetcode.com/problems/reorder-list/" TargetMode="External"/><Relationship Id="rId91" Type="http://schemas.openxmlformats.org/officeDocument/2006/relationships/hyperlink" Target="https://www.youtube.com/watch?v=S5bfdUTrKLM" TargetMode="External"/><Relationship Id="rId92" Type="http://schemas.openxmlformats.org/officeDocument/2006/relationships/hyperlink" Target="https://leetcode.com/problems/remove-nth-node-from-end-of-list/" TargetMode="External"/><Relationship Id="rId93" Type="http://schemas.openxmlformats.org/officeDocument/2006/relationships/hyperlink" Target="https://www.youtube.com/watch?v=XVuQxVej6y8" TargetMode="External"/><Relationship Id="rId94" Type="http://schemas.openxmlformats.org/officeDocument/2006/relationships/hyperlink" Target="https://leetcode.com/problems/copy-list-with-random-pointer/" TargetMode="External"/><Relationship Id="rId95" Type="http://schemas.openxmlformats.org/officeDocument/2006/relationships/hyperlink" Target="https://www.youtube.com/watch?v=5Y2EiZST97Y" TargetMode="External"/><Relationship Id="rId96" Type="http://schemas.openxmlformats.org/officeDocument/2006/relationships/hyperlink" Target="https://leetcode.com/problems/add-two-numbers/" TargetMode="External"/><Relationship Id="rId97" Type="http://schemas.openxmlformats.org/officeDocument/2006/relationships/hyperlink" Target="https://www.youtube.com/watch?v=wgFPrzTjm7s" TargetMode="External"/><Relationship Id="rId98" Type="http://schemas.openxmlformats.org/officeDocument/2006/relationships/hyperlink" Target="https://leetcode.com/problems/find-the-duplicate-number/" TargetMode="External"/><Relationship Id="rId99" Type="http://schemas.openxmlformats.org/officeDocument/2006/relationships/hyperlink" Target="https://www.youtube.com/watch?v=wjYnzkAhcNk" TargetMode="External"/><Relationship Id="rId100" Type="http://schemas.openxmlformats.org/officeDocument/2006/relationships/hyperlink" Target="https://leetcode.com/problems/lru-cache/" TargetMode="External"/><Relationship Id="rId101" Type="http://schemas.openxmlformats.org/officeDocument/2006/relationships/hyperlink" Target="https://www.youtube.com/watch?v=7ABFKPK2hD4" TargetMode="External"/><Relationship Id="rId102" Type="http://schemas.openxmlformats.org/officeDocument/2006/relationships/hyperlink" Target="https://leetcode.com/problems/merge-k-sorted-lists/" TargetMode="External"/><Relationship Id="rId103" Type="http://schemas.openxmlformats.org/officeDocument/2006/relationships/hyperlink" Target="https://www.youtube.com/watch?v=q5a5OiGbT6Q" TargetMode="External"/><Relationship Id="rId104" Type="http://schemas.openxmlformats.org/officeDocument/2006/relationships/hyperlink" Target="https://leetcode.com/problems/reverse-nodes-in-k-group/" TargetMode="External"/><Relationship Id="rId105" Type="http://schemas.openxmlformats.org/officeDocument/2006/relationships/hyperlink" Target="https://www.youtube.com/watch?v=1UOPsfP85V4" TargetMode="External"/><Relationship Id="rId106" Type="http://schemas.openxmlformats.org/officeDocument/2006/relationships/hyperlink" Target="https://leetcode.com/problems/invert-binary-tree/" TargetMode="External"/><Relationship Id="rId107" Type="http://schemas.openxmlformats.org/officeDocument/2006/relationships/hyperlink" Target="https://www.youtube.com/watch?v=OnSn2XEQ4MY" TargetMode="External"/><Relationship Id="rId108" Type="http://schemas.openxmlformats.org/officeDocument/2006/relationships/hyperlink" Target="https://leetcode.com/problems/maximum-depth-of-binary-tree/" TargetMode="External"/><Relationship Id="rId109" Type="http://schemas.openxmlformats.org/officeDocument/2006/relationships/hyperlink" Target="https://www.youtube.com/watch?v=hTM3phVI6YQ" TargetMode="External"/><Relationship Id="rId110" Type="http://schemas.openxmlformats.org/officeDocument/2006/relationships/hyperlink" Target="https://leetcode.com/problems/diameter-of-binary-tree/" TargetMode="External"/><Relationship Id="rId111" Type="http://schemas.openxmlformats.org/officeDocument/2006/relationships/hyperlink" Target="https://www.youtube.com/watch?v=bkxqA8Rfv04" TargetMode="External"/><Relationship Id="rId112" Type="http://schemas.openxmlformats.org/officeDocument/2006/relationships/hyperlink" Target="https://leetcode.com/problems/balanced-binary-tree/" TargetMode="External"/><Relationship Id="rId113" Type="http://schemas.openxmlformats.org/officeDocument/2006/relationships/hyperlink" Target="https://www.youtube.com/watch?v=QfJsau0ItOY" TargetMode="External"/><Relationship Id="rId114" Type="http://schemas.openxmlformats.org/officeDocument/2006/relationships/hyperlink" Target="https://leetcode.com/problems/same-tree/" TargetMode="External"/><Relationship Id="rId115" Type="http://schemas.openxmlformats.org/officeDocument/2006/relationships/hyperlink" Target="https://www.youtube.com/watch?v=vRbbcKXCxOw" TargetMode="External"/><Relationship Id="rId116" Type="http://schemas.openxmlformats.org/officeDocument/2006/relationships/hyperlink" Target="https://leetcode.com/problems/subtree-of-another-tree/" TargetMode="External"/><Relationship Id="rId117" Type="http://schemas.openxmlformats.org/officeDocument/2006/relationships/hyperlink" Target="https://www.youtube.com/watch?v=E36O5SWp-LE" TargetMode="External"/><Relationship Id="rId118" Type="http://schemas.openxmlformats.org/officeDocument/2006/relationships/hyperlink" Target="https://leetcode.com/problems/lowest-common-ancestor-of-a-binary-search-tree/" TargetMode="External"/><Relationship Id="rId119" Type="http://schemas.openxmlformats.org/officeDocument/2006/relationships/hyperlink" Target="https://www.youtube.com/watch?v=gs2LMfuOR9k" TargetMode="External"/><Relationship Id="rId120" Type="http://schemas.openxmlformats.org/officeDocument/2006/relationships/hyperlink" Target="https://leetcode.com/problems/binary-tree-level-order-traversal/" TargetMode="External"/><Relationship Id="rId121" Type="http://schemas.openxmlformats.org/officeDocument/2006/relationships/hyperlink" Target="https://www.youtube.com/watch?v=6ZnyEApgFYg" TargetMode="External"/><Relationship Id="rId122" Type="http://schemas.openxmlformats.org/officeDocument/2006/relationships/hyperlink" Target="https://leetcode.com/problems/binary-tree-right-side-view/" TargetMode="External"/><Relationship Id="rId123" Type="http://schemas.openxmlformats.org/officeDocument/2006/relationships/hyperlink" Target="https://www.youtube.com/watch?v=d4zLyf32e3I" TargetMode="External"/><Relationship Id="rId124" Type="http://schemas.openxmlformats.org/officeDocument/2006/relationships/hyperlink" Target="https://leetcode.com/problems/count-good-nodes-in-binary-tree/" TargetMode="External"/><Relationship Id="rId125" Type="http://schemas.openxmlformats.org/officeDocument/2006/relationships/hyperlink" Target="https://www.youtube.com/watch?v=7cp5imvDzl4" TargetMode="External"/><Relationship Id="rId126" Type="http://schemas.openxmlformats.org/officeDocument/2006/relationships/hyperlink" Target="https://leetcode.com/problems/validate-binary-search-tree/" TargetMode="External"/><Relationship Id="rId127" Type="http://schemas.openxmlformats.org/officeDocument/2006/relationships/hyperlink" Target="https://www.youtube.com/watch?v=s6ATEkipzow" TargetMode="External"/><Relationship Id="rId128" Type="http://schemas.openxmlformats.org/officeDocument/2006/relationships/hyperlink" Target="https://leetcode.com/problems/kth-smallest-element-in-a-bst/" TargetMode="External"/><Relationship Id="rId129" Type="http://schemas.openxmlformats.org/officeDocument/2006/relationships/hyperlink" Target="https://www.youtube.com/watch?v=5LUXSvjmGCw" TargetMode="External"/><Relationship Id="rId130" Type="http://schemas.openxmlformats.org/officeDocument/2006/relationships/hyperlink" Target="https://leetcode.com/problems/construct-binary-tree-from-preorder-and-inorder-traversal/" TargetMode="External"/><Relationship Id="rId131" Type="http://schemas.openxmlformats.org/officeDocument/2006/relationships/hyperlink" Target="https://www.youtube.com/watch?v=ihj4IQGZ2zc" TargetMode="External"/><Relationship Id="rId132" Type="http://schemas.openxmlformats.org/officeDocument/2006/relationships/hyperlink" Target="https://leetcode.com/problems/binary-tree-maximum-path-sum/" TargetMode="External"/><Relationship Id="rId133" Type="http://schemas.openxmlformats.org/officeDocument/2006/relationships/hyperlink" Target="https://www.youtube.com/watch?v=Hr5cWUld4vU" TargetMode="External"/><Relationship Id="rId134" Type="http://schemas.openxmlformats.org/officeDocument/2006/relationships/hyperlink" Target="https://leetcode.com/problems/serialize-and-deserialize-binary-tree/" TargetMode="External"/><Relationship Id="rId135" Type="http://schemas.openxmlformats.org/officeDocument/2006/relationships/hyperlink" Target="https://www.youtube.com/watch?v=u4JAi2JJhI8" TargetMode="External"/><Relationship Id="rId136" Type="http://schemas.openxmlformats.org/officeDocument/2006/relationships/hyperlink" Target="https://leetcode.com/problems/kth-largest-element-in-a-stream/" TargetMode="External"/><Relationship Id="rId137" Type="http://schemas.openxmlformats.org/officeDocument/2006/relationships/hyperlink" Target="https://www.youtube.com/watch?v=hOjcdrqMoQ8" TargetMode="External"/><Relationship Id="rId138" Type="http://schemas.openxmlformats.org/officeDocument/2006/relationships/hyperlink" Target="https://leetcode.com/problems/last-stone-weight/" TargetMode="External"/><Relationship Id="rId139" Type="http://schemas.openxmlformats.org/officeDocument/2006/relationships/hyperlink" Target="https://www.youtube.com/watch?v=B-QCq79-Vfw" TargetMode="External"/><Relationship Id="rId140" Type="http://schemas.openxmlformats.org/officeDocument/2006/relationships/hyperlink" Target="https://leetcode.com/problems/k-closest-points-to-origin/" TargetMode="External"/><Relationship Id="rId141" Type="http://schemas.openxmlformats.org/officeDocument/2006/relationships/hyperlink" Target="https://www.youtube.com/watch?v=rI2EBUEMfTk" TargetMode="External"/><Relationship Id="rId142" Type="http://schemas.openxmlformats.org/officeDocument/2006/relationships/hyperlink" Target="https://leetcode.com/problems/kth-largest-element-in-an-array/" TargetMode="External"/><Relationship Id="rId143" Type="http://schemas.openxmlformats.org/officeDocument/2006/relationships/hyperlink" Target="https://www.youtube.com/watch?v=XEmy13g1Qxc" TargetMode="External"/><Relationship Id="rId144" Type="http://schemas.openxmlformats.org/officeDocument/2006/relationships/hyperlink" Target="https://leetcode.com/problems/task-scheduler/" TargetMode="External"/><Relationship Id="rId145" Type="http://schemas.openxmlformats.org/officeDocument/2006/relationships/hyperlink" Target="https://www.youtube.com/watch?v=s8p8ukTyA2I" TargetMode="External"/><Relationship Id="rId146" Type="http://schemas.openxmlformats.org/officeDocument/2006/relationships/hyperlink" Target="https://leetcode.com/problems/design-twitter/" TargetMode="External"/><Relationship Id="rId147" Type="http://schemas.openxmlformats.org/officeDocument/2006/relationships/hyperlink" Target="https://www.youtube.com/watch?v=pNichitDD2E" TargetMode="External"/><Relationship Id="rId148" Type="http://schemas.openxmlformats.org/officeDocument/2006/relationships/hyperlink" Target="https://leetcode.com/problems/find-median-from-data-stream/" TargetMode="External"/><Relationship Id="rId149" Type="http://schemas.openxmlformats.org/officeDocument/2006/relationships/hyperlink" Target="https://www.youtube.com/watch?v=itmhHWaHupI" TargetMode="External"/><Relationship Id="rId150" Type="http://schemas.openxmlformats.org/officeDocument/2006/relationships/hyperlink" Target="https://leetcode.com/problems/maximum-subarray/" TargetMode="External"/><Relationship Id="rId151" Type="http://schemas.openxmlformats.org/officeDocument/2006/relationships/hyperlink" Target="https://www.youtube.com/watch?v=5WZl3MMT0Eg" TargetMode="External"/><Relationship Id="rId152" Type="http://schemas.openxmlformats.org/officeDocument/2006/relationships/hyperlink" Target="https://leetcode.com/problems/jump-game/" TargetMode="External"/><Relationship Id="rId153" Type="http://schemas.openxmlformats.org/officeDocument/2006/relationships/hyperlink" Target="https://www.youtube.com/watch?v=Yan0cv2cLy8" TargetMode="External"/><Relationship Id="rId154" Type="http://schemas.openxmlformats.org/officeDocument/2006/relationships/hyperlink" Target="https://leetcode.com/problems/jump-game-ii/" TargetMode="External"/><Relationship Id="rId155" Type="http://schemas.openxmlformats.org/officeDocument/2006/relationships/hyperlink" Target="https://www.youtube.com/watch?v=dJ7sWiOoK7g" TargetMode="External"/><Relationship Id="rId156" Type="http://schemas.openxmlformats.org/officeDocument/2006/relationships/hyperlink" Target="https://leetcode.com/problems/gas-station/" TargetMode="External"/><Relationship Id="rId157" Type="http://schemas.openxmlformats.org/officeDocument/2006/relationships/hyperlink" Target="https://www.youtube.com/watch?v=lJwbPZGo05A" TargetMode="External"/><Relationship Id="rId158" Type="http://schemas.openxmlformats.org/officeDocument/2006/relationships/hyperlink" Target="https://leetcode.com/problems/hand-of-straights/" TargetMode="External"/><Relationship Id="rId159" Type="http://schemas.openxmlformats.org/officeDocument/2006/relationships/hyperlink" Target="https://www.youtube.com/watch?v=amnrMCVd2YI" TargetMode="External"/><Relationship Id="rId160" Type="http://schemas.openxmlformats.org/officeDocument/2006/relationships/hyperlink" Target="https://leetcode.com/problems/merge-triplets-to-form-target-triplet/" TargetMode="External"/><Relationship Id="rId161" Type="http://schemas.openxmlformats.org/officeDocument/2006/relationships/hyperlink" Target="https://www.youtube.com/watch?v=kShkQLQZ9K4" TargetMode="External"/><Relationship Id="rId162" Type="http://schemas.openxmlformats.org/officeDocument/2006/relationships/hyperlink" Target="https://leetcode.com/problems/partition-labels/" TargetMode="External"/><Relationship Id="rId163" Type="http://schemas.openxmlformats.org/officeDocument/2006/relationships/hyperlink" Target="https://www.youtube.com/watch?v=B7m8UmZE-vw" TargetMode="External"/><Relationship Id="rId164" Type="http://schemas.openxmlformats.org/officeDocument/2006/relationships/hyperlink" Target="https://leetcode.com/problems/valid-parenthesis-string/" TargetMode="External"/><Relationship Id="rId165" Type="http://schemas.openxmlformats.org/officeDocument/2006/relationships/hyperlink" Target="https://www.youtube.com/watch?v=QhPdNS143Qg" TargetMode="External"/><Relationship Id="rId166" Type="http://schemas.openxmlformats.org/officeDocument/2006/relationships/hyperlink" Target="https://leetcode.com/problems/subsets/" TargetMode="External"/><Relationship Id="rId167" Type="http://schemas.openxmlformats.org/officeDocument/2006/relationships/hyperlink" Target="https://www.youtube.com/watch?v=REOH22Xwdkk" TargetMode="External"/><Relationship Id="rId168" Type="http://schemas.openxmlformats.org/officeDocument/2006/relationships/hyperlink" Target="https://leetcode.com/problems/combination-sum/" TargetMode="External"/><Relationship Id="rId169" Type="http://schemas.openxmlformats.org/officeDocument/2006/relationships/hyperlink" Target="https://www.youtube.com/watch?v=GBKI9VSKdGg" TargetMode="External"/><Relationship Id="rId170" Type="http://schemas.openxmlformats.org/officeDocument/2006/relationships/hyperlink" Target="https://leetcode.com/problems/permutations/" TargetMode="External"/><Relationship Id="rId171" Type="http://schemas.openxmlformats.org/officeDocument/2006/relationships/hyperlink" Target="https://www.youtube.com/watch?v=s7AvT7cGdSo" TargetMode="External"/><Relationship Id="rId172" Type="http://schemas.openxmlformats.org/officeDocument/2006/relationships/hyperlink" Target="https://leetcode.com/problems/subsets-ii/" TargetMode="External"/><Relationship Id="rId173" Type="http://schemas.openxmlformats.org/officeDocument/2006/relationships/hyperlink" Target="https://www.youtube.com/watch?v=Vn2v6ajA7U0" TargetMode="External"/><Relationship Id="rId174" Type="http://schemas.openxmlformats.org/officeDocument/2006/relationships/hyperlink" Target="https://leetcode.com/problems/combination-sum-ii/" TargetMode="External"/><Relationship Id="rId175" Type="http://schemas.openxmlformats.org/officeDocument/2006/relationships/hyperlink" Target="https://www.youtube.com/watch?v=rSA3t6BDDwg" TargetMode="External"/><Relationship Id="rId176" Type="http://schemas.openxmlformats.org/officeDocument/2006/relationships/hyperlink" Target="https://leetcode.com/problems/word-search/" TargetMode="External"/><Relationship Id="rId177" Type="http://schemas.openxmlformats.org/officeDocument/2006/relationships/hyperlink" Target="https://www.youtube.com/watch?v=pfiQ_PS1g8E" TargetMode="External"/><Relationship Id="rId178" Type="http://schemas.openxmlformats.org/officeDocument/2006/relationships/hyperlink" Target="https://leetcode.com/problems/palindrome-partitioning/" TargetMode="External"/><Relationship Id="rId179" Type="http://schemas.openxmlformats.org/officeDocument/2006/relationships/hyperlink" Target="https://www.youtube.com/watch?v=3jvWodd7ht0" TargetMode="External"/><Relationship Id="rId180" Type="http://schemas.openxmlformats.org/officeDocument/2006/relationships/hyperlink" Target="https://leetcode.com/problems/letter-combinations-of-a-phone-number/" TargetMode="External"/><Relationship Id="rId181" Type="http://schemas.openxmlformats.org/officeDocument/2006/relationships/hyperlink" Target="https://www.youtube.com/watch?v=0snEunUacZY" TargetMode="External"/><Relationship Id="rId182" Type="http://schemas.openxmlformats.org/officeDocument/2006/relationships/hyperlink" Target="https://leetcode.com/problems/n-queens/" TargetMode="External"/><Relationship Id="rId183" Type="http://schemas.openxmlformats.org/officeDocument/2006/relationships/hyperlink" Target="https://www.youtube.com/watch?v=Ph95IHmRp5M" TargetMode="External"/><Relationship Id="rId184" Type="http://schemas.openxmlformats.org/officeDocument/2006/relationships/hyperlink" Target="https://leetcode.com/problems/implement-trie-prefix-tree/" TargetMode="External"/><Relationship Id="rId185" Type="http://schemas.openxmlformats.org/officeDocument/2006/relationships/hyperlink" Target="https://www.youtube.com/watch?v=oobqoCJlHA0" TargetMode="External"/><Relationship Id="rId186" Type="http://schemas.openxmlformats.org/officeDocument/2006/relationships/hyperlink" Target="https://leetcode.com/problems/design-add-and-search-words-data-structure/" TargetMode="External"/><Relationship Id="rId187" Type="http://schemas.openxmlformats.org/officeDocument/2006/relationships/hyperlink" Target="https://www.youtube.com/watch?v=BTf05gs_8iU" TargetMode="External"/><Relationship Id="rId188" Type="http://schemas.openxmlformats.org/officeDocument/2006/relationships/hyperlink" Target="https://leetcode.com/problems/word-search-ii/" TargetMode="External"/><Relationship Id="rId189" Type="http://schemas.openxmlformats.org/officeDocument/2006/relationships/hyperlink" Target="https://www.youtube.com/watch?v=asbcE9mZz_U" TargetMode="External"/><Relationship Id="rId190" Type="http://schemas.openxmlformats.org/officeDocument/2006/relationships/hyperlink" Target="https://leetcode.com/problems/number-of-islands/" TargetMode="External"/><Relationship Id="rId191" Type="http://schemas.openxmlformats.org/officeDocument/2006/relationships/hyperlink" Target="https://www.youtube.com/watch?v=pV2kpPD66nE" TargetMode="External"/><Relationship Id="rId192" Type="http://schemas.openxmlformats.org/officeDocument/2006/relationships/hyperlink" Target="https://leetcode.com/problems/clone-graph/" TargetMode="External"/><Relationship Id="rId193" Type="http://schemas.openxmlformats.org/officeDocument/2006/relationships/hyperlink" Target="https://www.youtube.com/watch?v=mQeF6bN8hMk" TargetMode="External"/><Relationship Id="rId194" Type="http://schemas.openxmlformats.org/officeDocument/2006/relationships/hyperlink" Target="https://leetcode.com/problems/max-area-of-island/" TargetMode="External"/><Relationship Id="rId195" Type="http://schemas.openxmlformats.org/officeDocument/2006/relationships/hyperlink" Target="https://www.youtube.com/watch?v=iJGr1OtmH0c" TargetMode="External"/><Relationship Id="rId196" Type="http://schemas.openxmlformats.org/officeDocument/2006/relationships/hyperlink" Target="https://leetcode.com/problems/pacific-atlantic-water-flow/" TargetMode="External"/><Relationship Id="rId197" Type="http://schemas.openxmlformats.org/officeDocument/2006/relationships/hyperlink" Target="https://www.youtube.com/watch?v=s-VkcjHqkGI" TargetMode="External"/><Relationship Id="rId198" Type="http://schemas.openxmlformats.org/officeDocument/2006/relationships/hyperlink" Target="https://leetcode.com/problems/surrounded-regions/" TargetMode="External"/><Relationship Id="rId199" Type="http://schemas.openxmlformats.org/officeDocument/2006/relationships/hyperlink" Target="https://www.youtube.com/watch?v=9z2BunfoZ5Y" TargetMode="External"/><Relationship Id="rId200" Type="http://schemas.openxmlformats.org/officeDocument/2006/relationships/hyperlink" Target="https://leetcode.com/problems/rotting-oranges/" TargetMode="External"/><Relationship Id="rId201" Type="http://schemas.openxmlformats.org/officeDocument/2006/relationships/hyperlink" Target="https://www.youtube.com/watch?v=y704fEOx0s0" TargetMode="External"/><Relationship Id="rId202" Type="http://schemas.openxmlformats.org/officeDocument/2006/relationships/hyperlink" Target="https://leetcode.com/problems/walls-and-gates/" TargetMode="External"/><Relationship Id="rId203" Type="http://schemas.openxmlformats.org/officeDocument/2006/relationships/hyperlink" Target="https://www.lintcode.com/problem/663/" TargetMode="External"/><Relationship Id="rId204" Type="http://schemas.openxmlformats.org/officeDocument/2006/relationships/hyperlink" Target="https://www.youtube.com/watch?v=e69C6xhiSQE" TargetMode="External"/><Relationship Id="rId205" Type="http://schemas.openxmlformats.org/officeDocument/2006/relationships/hyperlink" Target="https://leetcode.com/problems/course-schedule/" TargetMode="External"/><Relationship Id="rId206" Type="http://schemas.openxmlformats.org/officeDocument/2006/relationships/hyperlink" Target="https://www.youtube.com/watch?v=EgI5nU9etnU" TargetMode="External"/><Relationship Id="rId207" Type="http://schemas.openxmlformats.org/officeDocument/2006/relationships/hyperlink" Target="https://leetcode.com/problems/course-schedule-ii/" TargetMode="External"/><Relationship Id="rId208" Type="http://schemas.openxmlformats.org/officeDocument/2006/relationships/hyperlink" Target="https://www.youtube.com/watch?v=Akt3glAwyfY" TargetMode="External"/><Relationship Id="rId209" Type="http://schemas.openxmlformats.org/officeDocument/2006/relationships/hyperlink" Target="https://leetcode.com/problems/redundant-connection/" TargetMode="External"/><Relationship Id="rId210" Type="http://schemas.openxmlformats.org/officeDocument/2006/relationships/hyperlink" Target="https://www.youtube.com/watch?v=FXWRE67PLL0" TargetMode="External"/><Relationship Id="rId211" Type="http://schemas.openxmlformats.org/officeDocument/2006/relationships/hyperlink" Target="https://leetcode.com/problems/number-of-connected-components-in-an-undirected-graph/" TargetMode="External"/><Relationship Id="rId212" Type="http://schemas.openxmlformats.org/officeDocument/2006/relationships/hyperlink" Target="https://www.lintcode.com/problem/3651/" TargetMode="External"/><Relationship Id="rId213" Type="http://schemas.openxmlformats.org/officeDocument/2006/relationships/hyperlink" Target="https://www.youtube.com/watch?v=8f1XPm4WOUc" TargetMode="External"/><Relationship Id="rId214" Type="http://schemas.openxmlformats.org/officeDocument/2006/relationships/hyperlink" Target="https://leetcode.com/problems/graph-valid-tree/" TargetMode="External"/><Relationship Id="rId215" Type="http://schemas.openxmlformats.org/officeDocument/2006/relationships/hyperlink" Target="https://www.lintcode.com/problem/178/" TargetMode="External"/><Relationship Id="rId216" Type="http://schemas.openxmlformats.org/officeDocument/2006/relationships/hyperlink" Target="https://www.youtube.com/watch?v=bXsUuownnoQ" TargetMode="External"/><Relationship Id="rId217" Type="http://schemas.openxmlformats.org/officeDocument/2006/relationships/hyperlink" Target="https://leetcode.com/problems/word-ladder/" TargetMode="External"/><Relationship Id="rId218" Type="http://schemas.openxmlformats.org/officeDocument/2006/relationships/hyperlink" Target="https://www.youtube.com/watch?v=h9iTnkgv05E" TargetMode="External"/><Relationship Id="rId219" Type="http://schemas.openxmlformats.org/officeDocument/2006/relationships/hyperlink" Target="https://leetcode.com/problems/min-cost-to-connect-all-points/" TargetMode="External"/><Relationship Id="rId220" Type="http://schemas.openxmlformats.org/officeDocument/2006/relationships/hyperlink" Target="https://www.youtube.com/watch?v=f7JOBJIC-NA" TargetMode="External"/><Relationship Id="rId221" Type="http://schemas.openxmlformats.org/officeDocument/2006/relationships/hyperlink" Target="https://leetcode.com/problems/network-delay-time/" TargetMode="External"/><Relationship Id="rId222" Type="http://schemas.openxmlformats.org/officeDocument/2006/relationships/hyperlink" Target="https://www.youtube.com/watch?v=EaphyqKU4PQ" TargetMode="External"/><Relationship Id="rId223" Type="http://schemas.openxmlformats.org/officeDocument/2006/relationships/hyperlink" Target="https://leetcode.com/problems/cheapest-flights-within-k-stops/" TargetMode="External"/><Relationship Id="rId224" Type="http://schemas.openxmlformats.org/officeDocument/2006/relationships/hyperlink" Target="https://www.youtube.com/watch?v=5eIK3zUdYmE" TargetMode="External"/><Relationship Id="rId225" Type="http://schemas.openxmlformats.org/officeDocument/2006/relationships/hyperlink" Target="https://leetcode.com/problems/reconstruct-itinerary/" TargetMode="External"/><Relationship Id="rId226" Type="http://schemas.openxmlformats.org/officeDocument/2006/relationships/hyperlink" Target="https://www.youtube.com/watch?v=ZyB_gQ8vqGA" TargetMode="External"/><Relationship Id="rId227" Type="http://schemas.openxmlformats.org/officeDocument/2006/relationships/hyperlink" Target="https://leetcode.com/problems/swim-in-rising-water/" TargetMode="External"/><Relationship Id="rId228" Type="http://schemas.openxmlformats.org/officeDocument/2006/relationships/hyperlink" Target="https://www.youtube.com/watch?v=amvrKlMLuGY" TargetMode="External"/><Relationship Id="rId229" Type="http://schemas.openxmlformats.org/officeDocument/2006/relationships/hyperlink" Target="https://leetcode.com/problems/alien-dictionary/" TargetMode="External"/><Relationship Id="rId230" Type="http://schemas.openxmlformats.org/officeDocument/2006/relationships/hyperlink" Target="https://www.lintcode.com/problem/892/" TargetMode="External"/><Relationship Id="rId231" Type="http://schemas.openxmlformats.org/officeDocument/2006/relationships/hyperlink" Target="https://www.youtube.com/watch?v=6kTZYvNNyps" TargetMode="External"/><Relationship Id="rId232" Type="http://schemas.openxmlformats.org/officeDocument/2006/relationships/hyperlink" Target="https://leetcode.com/problems/happy-number/" TargetMode="External"/><Relationship Id="rId233" Type="http://schemas.openxmlformats.org/officeDocument/2006/relationships/hyperlink" Target="https://www.youtube.com/watch?v=ljz85bxOYJ0" TargetMode="External"/><Relationship Id="rId234" Type="http://schemas.openxmlformats.org/officeDocument/2006/relationships/hyperlink" Target="https://leetcode.com/problems/plus-one/" TargetMode="External"/><Relationship Id="rId235" Type="http://schemas.openxmlformats.org/officeDocument/2006/relationships/hyperlink" Target="https://www.youtube.com/watch?v=jIaA8boiG1s" TargetMode="External"/><Relationship Id="rId236" Type="http://schemas.openxmlformats.org/officeDocument/2006/relationships/hyperlink" Target="https://leetcode.com/problems/rotate-image/" TargetMode="External"/><Relationship Id="rId237" Type="http://schemas.openxmlformats.org/officeDocument/2006/relationships/hyperlink" Target="https://www.youtube.com/watch?v=fMSJSS7eO1w" TargetMode="External"/><Relationship Id="rId238" Type="http://schemas.openxmlformats.org/officeDocument/2006/relationships/hyperlink" Target="https://leetcode.com/problems/spiral-matrix/" TargetMode="External"/><Relationship Id="rId239" Type="http://schemas.openxmlformats.org/officeDocument/2006/relationships/hyperlink" Target="https://www.youtube.com/watch?v=BJnMZNwUk1M" TargetMode="External"/><Relationship Id="rId240" Type="http://schemas.openxmlformats.org/officeDocument/2006/relationships/hyperlink" Target="https://leetcode.com/problems/set-matrix-zeroes/" TargetMode="External"/><Relationship Id="rId241" Type="http://schemas.openxmlformats.org/officeDocument/2006/relationships/hyperlink" Target="https://www.youtube.com/watch?v=T41rL0L3Pnw" TargetMode="External"/><Relationship Id="rId242" Type="http://schemas.openxmlformats.org/officeDocument/2006/relationships/hyperlink" Target="https://leetcode.com/problems/powx-n/" TargetMode="External"/><Relationship Id="rId243" Type="http://schemas.openxmlformats.org/officeDocument/2006/relationships/hyperlink" Target="https://www.youtube.com/watch?v=g9YQyYi4IQQ" TargetMode="External"/><Relationship Id="rId244" Type="http://schemas.openxmlformats.org/officeDocument/2006/relationships/hyperlink" Target="https://leetcode.com/problems/multiply-strings/" TargetMode="External"/><Relationship Id="rId245" Type="http://schemas.openxmlformats.org/officeDocument/2006/relationships/hyperlink" Target="https://www.youtube.com/watch?v=1vZswirL8Y8" TargetMode="External"/><Relationship Id="rId246" Type="http://schemas.openxmlformats.org/officeDocument/2006/relationships/hyperlink" Target="https://leetcode.com/problems/detect-squares/" TargetMode="External"/><Relationship Id="rId247" Type="http://schemas.openxmlformats.org/officeDocument/2006/relationships/hyperlink" Target="https://www.youtube.com/watch?v=bahebearrDc" TargetMode="External"/><Relationship Id="rId248" Type="http://schemas.openxmlformats.org/officeDocument/2006/relationships/hyperlink" Target="https://leetcode.com/problems/climbing-stairs/" TargetMode="External"/><Relationship Id="rId249" Type="http://schemas.openxmlformats.org/officeDocument/2006/relationships/hyperlink" Target="https://www.youtube.com/watch?v=Y0lT9Fck7qI" TargetMode="External"/><Relationship Id="rId250" Type="http://schemas.openxmlformats.org/officeDocument/2006/relationships/hyperlink" Target="https://leetcode.com/problems/min-cost-climbing-stairs/" TargetMode="External"/><Relationship Id="rId251" Type="http://schemas.openxmlformats.org/officeDocument/2006/relationships/hyperlink" Target="https://www.youtube.com/watch?v=ktmzAZWkEZ0" TargetMode="External"/><Relationship Id="rId252" Type="http://schemas.openxmlformats.org/officeDocument/2006/relationships/hyperlink" Target="https://leetcode.com/problems/house-robber/" TargetMode="External"/><Relationship Id="rId253" Type="http://schemas.openxmlformats.org/officeDocument/2006/relationships/hyperlink" Target="https://www.youtube.com/watch?v=73r3KWiEvyk" TargetMode="External"/><Relationship Id="rId254" Type="http://schemas.openxmlformats.org/officeDocument/2006/relationships/hyperlink" Target="https://leetcode.com/problems/house-robber-ii/" TargetMode="External"/><Relationship Id="rId255" Type="http://schemas.openxmlformats.org/officeDocument/2006/relationships/hyperlink" Target="https://www.youtube.com/watch?v=rWAJCfYYOvM" TargetMode="External"/><Relationship Id="rId256" Type="http://schemas.openxmlformats.org/officeDocument/2006/relationships/hyperlink" Target="https://leetcode.com/problems/longest-palindromic-substring/" TargetMode="External"/><Relationship Id="rId257" Type="http://schemas.openxmlformats.org/officeDocument/2006/relationships/hyperlink" Target="https://www.youtube.com/watch?v=XYQecbcd6_c" TargetMode="External"/><Relationship Id="rId258" Type="http://schemas.openxmlformats.org/officeDocument/2006/relationships/hyperlink" Target="https://leetcode.com/problems/palindromic-substrings/" TargetMode="External"/><Relationship Id="rId259" Type="http://schemas.openxmlformats.org/officeDocument/2006/relationships/hyperlink" Target="https://www.youtube.com/watch?v=4RACzI5-du8" TargetMode="External"/><Relationship Id="rId260" Type="http://schemas.openxmlformats.org/officeDocument/2006/relationships/hyperlink" Target="https://leetcode.com/problems/decode-ways/" TargetMode="External"/><Relationship Id="rId261" Type="http://schemas.openxmlformats.org/officeDocument/2006/relationships/hyperlink" Target="https://www.youtube.com/watch?v=6aEyTjOwlJU" TargetMode="External"/><Relationship Id="rId262" Type="http://schemas.openxmlformats.org/officeDocument/2006/relationships/hyperlink" Target="https://leetcode.com/problems/coin-change/" TargetMode="External"/><Relationship Id="rId263" Type="http://schemas.openxmlformats.org/officeDocument/2006/relationships/hyperlink" Target="https://www.youtube.com/watch?v=H9bfqozjoqs" TargetMode="External"/><Relationship Id="rId264" Type="http://schemas.openxmlformats.org/officeDocument/2006/relationships/hyperlink" Target="https://leetcode.com/problems/maximum-product-subarray/" TargetMode="External"/><Relationship Id="rId265" Type="http://schemas.openxmlformats.org/officeDocument/2006/relationships/hyperlink" Target="https://www.youtube.com/watch?v=lXVy6YWFcRM" TargetMode="External"/><Relationship Id="rId266" Type="http://schemas.openxmlformats.org/officeDocument/2006/relationships/hyperlink" Target="https://leetcode.com/problems/word-break/" TargetMode="External"/><Relationship Id="rId267" Type="http://schemas.openxmlformats.org/officeDocument/2006/relationships/hyperlink" Target="https://www.youtube.com/watch?v=Sx9NNgInc3A" TargetMode="External"/><Relationship Id="rId268" Type="http://schemas.openxmlformats.org/officeDocument/2006/relationships/hyperlink" Target="https://leetcode.com/problems/longest-increasing-subsequence/" TargetMode="External"/><Relationship Id="rId269" Type="http://schemas.openxmlformats.org/officeDocument/2006/relationships/hyperlink" Target="https://www.youtube.com/watch?v=cjWnW0hdF1Y" TargetMode="External"/><Relationship Id="rId270" Type="http://schemas.openxmlformats.org/officeDocument/2006/relationships/hyperlink" Target="https://leetcode.com/problems/partition-equal-subset-sum/" TargetMode="External"/><Relationship Id="rId271" Type="http://schemas.openxmlformats.org/officeDocument/2006/relationships/hyperlink" Target="https://www.youtube.com/watch?v=IsvocB5BJhw" TargetMode="External"/><Relationship Id="rId272" Type="http://schemas.openxmlformats.org/officeDocument/2006/relationships/hyperlink" Target="https://leetcode.com/problems/unique-paths/" TargetMode="External"/><Relationship Id="rId273" Type="http://schemas.openxmlformats.org/officeDocument/2006/relationships/hyperlink" Target="https://www.youtube.com/watch?v=IlEsdxuD4lY" TargetMode="External"/><Relationship Id="rId274" Type="http://schemas.openxmlformats.org/officeDocument/2006/relationships/hyperlink" Target="https://leetcode.com/problems/longest-common-subsequence/" TargetMode="External"/><Relationship Id="rId275" Type="http://schemas.openxmlformats.org/officeDocument/2006/relationships/hyperlink" Target="https://www.youtube.com/watch?v=Ua0GhsJSlWM" TargetMode="External"/><Relationship Id="rId276" Type="http://schemas.openxmlformats.org/officeDocument/2006/relationships/hyperlink" Target="https://leetcode.com/problems/best-time-to-buy-and-sell-stock-with-cooldown/" TargetMode="External"/><Relationship Id="rId277" Type="http://schemas.openxmlformats.org/officeDocument/2006/relationships/hyperlink" Target="https://www.youtube.com/watch?v=I7j0F7AHpb8" TargetMode="External"/><Relationship Id="rId278" Type="http://schemas.openxmlformats.org/officeDocument/2006/relationships/hyperlink" Target="https://leetcode.com/problems/coin-change-ii/" TargetMode="External"/><Relationship Id="rId279" Type="http://schemas.openxmlformats.org/officeDocument/2006/relationships/hyperlink" Target="https://www.youtube.com/watch?v=Mjy4hd2xgrs" TargetMode="External"/><Relationship Id="rId280" Type="http://schemas.openxmlformats.org/officeDocument/2006/relationships/hyperlink" Target="https://leetcode.com/problems/target-sum/" TargetMode="External"/><Relationship Id="rId281" Type="http://schemas.openxmlformats.org/officeDocument/2006/relationships/hyperlink" Target="https://www.youtube.com/watch?v=g0npyaQtAQM" TargetMode="External"/><Relationship Id="rId282" Type="http://schemas.openxmlformats.org/officeDocument/2006/relationships/hyperlink" Target="https://leetcode.com/problems/interleaving-string/" TargetMode="External"/><Relationship Id="rId283" Type="http://schemas.openxmlformats.org/officeDocument/2006/relationships/hyperlink" Target="https://www.youtube.com/watch?v=3Rw3p9LrgvE" TargetMode="External"/><Relationship Id="rId284" Type="http://schemas.openxmlformats.org/officeDocument/2006/relationships/hyperlink" Target="https://leetcode.com/problems/edit-distance/" TargetMode="External"/><Relationship Id="rId285" Type="http://schemas.openxmlformats.org/officeDocument/2006/relationships/hyperlink" Target="https://www.youtube.com/watch?v=XYi2-LPrwm4" TargetMode="External"/><Relationship Id="rId286" Type="http://schemas.openxmlformats.org/officeDocument/2006/relationships/hyperlink" Target="https://leetcode.com/problems/longest-increasing-path-in-a-matrix/" TargetMode="External"/><Relationship Id="rId287" Type="http://schemas.openxmlformats.org/officeDocument/2006/relationships/hyperlink" Target="https://www.youtube.com/watch?v=wCc_nd-GiEc" TargetMode="External"/><Relationship Id="rId288" Type="http://schemas.openxmlformats.org/officeDocument/2006/relationships/hyperlink" Target="https://leetcode.com/problems/distinct-subsequences/" TargetMode="External"/><Relationship Id="rId289" Type="http://schemas.openxmlformats.org/officeDocument/2006/relationships/hyperlink" Target="https://www.youtube.com/watch?v=-RDzMJ33nx8" TargetMode="External"/><Relationship Id="rId290" Type="http://schemas.openxmlformats.org/officeDocument/2006/relationships/hyperlink" Target="https://leetcode.com/problems/burst-balloons/" TargetMode="External"/><Relationship Id="rId291" Type="http://schemas.openxmlformats.org/officeDocument/2006/relationships/hyperlink" Target="https://www.youtube.com/watch?v=VFskby7lUbw" TargetMode="External"/><Relationship Id="rId292" Type="http://schemas.openxmlformats.org/officeDocument/2006/relationships/hyperlink" Target="https://leetcode.com/problems/regular-expression-matching/" TargetMode="External"/><Relationship Id="rId293" Type="http://schemas.openxmlformats.org/officeDocument/2006/relationships/hyperlink" Target="https://www.youtube.com/watch?v=HAA8mgxlov8" TargetMode="External"/><Relationship Id="rId294" Type="http://schemas.openxmlformats.org/officeDocument/2006/relationships/hyperlink" Target="https://leetcode.com/problems/single-number/" TargetMode="External"/><Relationship Id="rId295" Type="http://schemas.openxmlformats.org/officeDocument/2006/relationships/hyperlink" Target="https://www.youtube.com/watch?v=qMPX1AOa83k" TargetMode="External"/><Relationship Id="rId296" Type="http://schemas.openxmlformats.org/officeDocument/2006/relationships/hyperlink" Target="https://leetcode.com/problems/number-of-1-bits/" TargetMode="External"/><Relationship Id="rId297" Type="http://schemas.openxmlformats.org/officeDocument/2006/relationships/hyperlink" Target="https://www.youtube.com/watch?v=5Km3utixwZs" TargetMode="External"/><Relationship Id="rId298" Type="http://schemas.openxmlformats.org/officeDocument/2006/relationships/hyperlink" Target="https://leetcode.com/problems/counting-bits/" TargetMode="External"/><Relationship Id="rId299" Type="http://schemas.openxmlformats.org/officeDocument/2006/relationships/hyperlink" Target="https://www.youtube.com/watch?v=RyBM56RIWrM" TargetMode="External"/><Relationship Id="rId300" Type="http://schemas.openxmlformats.org/officeDocument/2006/relationships/hyperlink" Target="https://leetcode.com/problems/reverse-bits/" TargetMode="External"/><Relationship Id="rId301" Type="http://schemas.openxmlformats.org/officeDocument/2006/relationships/hyperlink" Target="https://www.youtube.com/watch?v=UcoN6UjAI64" TargetMode="External"/><Relationship Id="rId302" Type="http://schemas.openxmlformats.org/officeDocument/2006/relationships/hyperlink" Target="https://leetcode.com/problems/missing-number/" TargetMode="External"/><Relationship Id="rId303" Type="http://schemas.openxmlformats.org/officeDocument/2006/relationships/hyperlink" Target="https://www.youtube.com/watch?v=WnPLSRLSANE" TargetMode="External"/><Relationship Id="rId304" Type="http://schemas.openxmlformats.org/officeDocument/2006/relationships/hyperlink" Target="https://leetcode.com/problems/sum-of-two-integers/" TargetMode="External"/><Relationship Id="rId305" Type="http://schemas.openxmlformats.org/officeDocument/2006/relationships/hyperlink" Target="https://www.youtube.com/watch?v=gVUrDV4tZfY" TargetMode="External"/><Relationship Id="rId306" Type="http://schemas.openxmlformats.org/officeDocument/2006/relationships/hyperlink" Target="https://leetcode.com/problems/reverse-integer/" TargetMode="External"/><Relationship Id="rId307" Type="http://schemas.openxmlformats.org/officeDocument/2006/relationships/hyperlink" Target="https://www.youtube.com/watch?v=HAgLH58IgJQ" TargetMode="External"/><Relationship Id="rId30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9" min="3" style="0" width="18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18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</row>
    <row r="8" customFormat="false" ht="16.15" hidden="false" customHeight="false" outlineLevel="0" collapsed="false">
      <c r="B8" s="3" t="s">
        <v>4</v>
      </c>
    </row>
    <row r="9" customFormat="false" ht="30" hidden="false" customHeight="true" outlineLevel="0" collapsed="false">
      <c r="B9" s="4" t="s">
        <v>5</v>
      </c>
      <c r="C9" s="4"/>
      <c r="D9" s="4"/>
      <c r="E9" s="4"/>
      <c r="F9" s="4"/>
      <c r="G9" s="4"/>
      <c r="H9" s="4"/>
      <c r="I9" s="4"/>
    </row>
    <row r="11" customFormat="false" ht="16.15" hidden="false" customHeight="false" outlineLevel="0" collapsed="false">
      <c r="B11" s="3" t="s">
        <v>6</v>
      </c>
    </row>
    <row r="12" customFormat="false" ht="18" hidden="false" customHeight="true" outlineLevel="0" collapsed="false">
      <c r="B12" s="4" t="s">
        <v>7</v>
      </c>
      <c r="C12" s="4"/>
      <c r="D12" s="4"/>
      <c r="E12" s="4"/>
      <c r="F12" s="4"/>
      <c r="G12" s="4"/>
      <c r="H12" s="4"/>
      <c r="I12" s="4"/>
    </row>
    <row r="13" customFormat="false" ht="30" hidden="false" customHeight="true" outlineLevel="0" collapsed="false">
      <c r="B13" s="4" t="s">
        <v>8</v>
      </c>
      <c r="C13" s="4"/>
      <c r="D13" s="4"/>
      <c r="E13" s="4"/>
      <c r="F13" s="4"/>
      <c r="G13" s="4"/>
      <c r="H13" s="4"/>
      <c r="I13" s="4"/>
    </row>
    <row r="14" customFormat="false" ht="18" hidden="false" customHeight="true" outlineLevel="0" collapsed="false">
      <c r="B14" s="4" t="s">
        <v>9</v>
      </c>
      <c r="C14" s="4"/>
      <c r="D14" s="4"/>
      <c r="E14" s="4"/>
      <c r="F14" s="4"/>
      <c r="G14" s="4"/>
      <c r="H14" s="4"/>
      <c r="I14" s="4"/>
    </row>
    <row r="15" customFormat="false" ht="18" hidden="false" customHeight="true" outlineLevel="0" collapsed="false">
      <c r="B15" s="4" t="s">
        <v>10</v>
      </c>
      <c r="C15" s="4"/>
      <c r="D15" s="4"/>
      <c r="E15" s="4"/>
      <c r="F15" s="4"/>
      <c r="G15" s="4"/>
      <c r="H15" s="4"/>
      <c r="I15" s="4"/>
    </row>
    <row r="16" customFormat="false" ht="18" hidden="false" customHeight="true" outlineLevel="0" collapsed="false">
      <c r="B16" s="4" t="s">
        <v>11</v>
      </c>
      <c r="C16" s="4"/>
      <c r="D16" s="4"/>
      <c r="E16" s="4"/>
      <c r="F16" s="4"/>
      <c r="G16" s="4"/>
      <c r="H16" s="4"/>
      <c r="I16" s="4"/>
    </row>
    <row r="17" customFormat="false" ht="30" hidden="false" customHeight="true" outlineLevel="0" collapsed="false">
      <c r="B17" s="4" t="s">
        <v>12</v>
      </c>
      <c r="C17" s="4"/>
      <c r="D17" s="4"/>
      <c r="E17" s="4"/>
      <c r="F17" s="4"/>
      <c r="G17" s="4"/>
      <c r="H17" s="4"/>
      <c r="I17" s="4"/>
    </row>
    <row r="19" customFormat="false" ht="16.15" hidden="false" customHeight="false" outlineLevel="0" collapsed="false">
      <c r="B19" s="3" t="s">
        <v>13</v>
      </c>
    </row>
    <row r="20" customFormat="false" ht="18" hidden="false" customHeight="true" outlineLevel="0" collapsed="false">
      <c r="B20" s="5" t="s">
        <v>14</v>
      </c>
      <c r="C20" s="5"/>
      <c r="D20" s="5"/>
      <c r="E20" s="5"/>
      <c r="F20" s="5"/>
      <c r="G20" s="5"/>
      <c r="H20" s="5"/>
      <c r="I20" s="5"/>
    </row>
    <row r="21" customFormat="false" ht="18" hidden="false" customHeight="true" outlineLevel="0" collapsed="false">
      <c r="B21" s="4" t="s">
        <v>15</v>
      </c>
      <c r="C21" s="4"/>
      <c r="D21" s="4"/>
      <c r="E21" s="4"/>
      <c r="F21" s="4"/>
      <c r="G21" s="4"/>
      <c r="H21" s="4"/>
      <c r="I21" s="4"/>
    </row>
    <row r="22" customFormat="false" ht="18" hidden="false" customHeight="true" outlineLevel="0" collapsed="false">
      <c r="B22" s="4" t="s">
        <v>16</v>
      </c>
      <c r="C22" s="4"/>
      <c r="D22" s="4"/>
      <c r="E22" s="4"/>
      <c r="F22" s="4"/>
      <c r="G22" s="4"/>
      <c r="H22" s="4"/>
      <c r="I22" s="4"/>
    </row>
    <row r="23" customFormat="false" ht="18" hidden="false" customHeight="true" outlineLevel="0" collapsed="false">
      <c r="B23" s="4" t="s">
        <v>17</v>
      </c>
      <c r="C23" s="4"/>
      <c r="D23" s="4"/>
      <c r="E23" s="4"/>
      <c r="F23" s="4"/>
      <c r="G23" s="4"/>
      <c r="H23" s="4"/>
      <c r="I23" s="4"/>
    </row>
    <row r="24" customFormat="false" ht="30" hidden="false" customHeight="true" outlineLevel="0" collapsed="false">
      <c r="B24" s="4" t="s">
        <v>18</v>
      </c>
      <c r="C24" s="4"/>
      <c r="D24" s="4"/>
      <c r="E24" s="4"/>
      <c r="F24" s="4"/>
      <c r="G24" s="4"/>
      <c r="H24" s="4"/>
      <c r="I24" s="4"/>
    </row>
    <row r="25" customFormat="false" ht="18" hidden="false" customHeight="true" outlineLevel="0" collapsed="false">
      <c r="B25" s="4" t="s">
        <v>19</v>
      </c>
      <c r="C25" s="4"/>
      <c r="D25" s="4"/>
      <c r="E25" s="4"/>
      <c r="F25" s="4"/>
      <c r="G25" s="4"/>
      <c r="H25" s="4"/>
      <c r="I25" s="4"/>
    </row>
    <row r="26" customFormat="false" ht="18" hidden="false" customHeight="true" outlineLevel="0" collapsed="false">
      <c r="B26" s="4" t="s">
        <v>20</v>
      </c>
      <c r="C26" s="4"/>
      <c r="D26" s="4"/>
      <c r="E26" s="4"/>
      <c r="F26" s="4"/>
      <c r="G26" s="4"/>
      <c r="H26" s="4"/>
      <c r="I26" s="4"/>
    </row>
    <row r="28" customFormat="false" ht="16.15" hidden="false" customHeight="false" outlineLevel="0" collapsed="false">
      <c r="B28" s="3" t="s">
        <v>21</v>
      </c>
    </row>
    <row r="29" customFormat="false" ht="15" hidden="false" customHeight="false" outlineLevel="0" collapsed="false">
      <c r="B29" s="6" t="s">
        <v>22</v>
      </c>
      <c r="C29" s="6" t="s">
        <v>23</v>
      </c>
      <c r="D29" s="6" t="s">
        <v>24</v>
      </c>
      <c r="E29" s="6" t="s">
        <v>25</v>
      </c>
      <c r="F29" s="6" t="s">
        <v>26</v>
      </c>
      <c r="G29" s="6" t="s">
        <v>27</v>
      </c>
      <c r="H29" s="6" t="s">
        <v>28</v>
      </c>
      <c r="I29" s="6" t="s">
        <v>29</v>
      </c>
    </row>
    <row r="30" customFormat="false" ht="48" hidden="false" customHeight="true" outlineLevel="0" collapsed="false">
      <c r="B30" s="7" t="s">
        <v>30</v>
      </c>
      <c r="C30" s="7" t="s">
        <v>31</v>
      </c>
      <c r="D30" s="7" t="s">
        <v>32</v>
      </c>
      <c r="E30" s="7" t="s">
        <v>33</v>
      </c>
      <c r="F30" s="7" t="s">
        <v>34</v>
      </c>
      <c r="G30" s="7" t="s">
        <v>35</v>
      </c>
      <c r="H30" s="7" t="s">
        <v>35</v>
      </c>
      <c r="I30" s="7" t="s">
        <v>35</v>
      </c>
    </row>
    <row r="32" customFormat="false" ht="16.15" hidden="false" customHeight="false" outlineLevel="0" collapsed="false">
      <c r="B32" s="3" t="s">
        <v>36</v>
      </c>
    </row>
    <row r="33" customFormat="false" ht="18" hidden="false" customHeight="true" outlineLevel="0" collapsed="false">
      <c r="B33" s="4" t="s">
        <v>37</v>
      </c>
      <c r="C33" s="4"/>
      <c r="D33" s="4"/>
      <c r="E33" s="4"/>
      <c r="F33" s="4"/>
      <c r="G33" s="4"/>
      <c r="H33" s="4"/>
      <c r="I33" s="4"/>
    </row>
    <row r="34" customFormat="false" ht="18" hidden="false" customHeight="true" outlineLevel="0" collapsed="false">
      <c r="B34" s="4" t="s">
        <v>38</v>
      </c>
      <c r="C34" s="4"/>
      <c r="D34" s="4"/>
      <c r="E34" s="4"/>
      <c r="F34" s="4"/>
      <c r="G34" s="4"/>
      <c r="H34" s="4"/>
      <c r="I34" s="4"/>
    </row>
    <row r="35" customFormat="false" ht="18" hidden="false" customHeight="true" outlineLevel="0" collapsed="false">
      <c r="B35" s="4" t="s">
        <v>39</v>
      </c>
      <c r="C35" s="4"/>
      <c r="D35" s="4"/>
      <c r="E35" s="4"/>
      <c r="F35" s="4"/>
      <c r="G35" s="4"/>
      <c r="H35" s="4"/>
      <c r="I35" s="4"/>
    </row>
    <row r="37" customFormat="false" ht="16.15" hidden="false" customHeight="false" outlineLevel="0" collapsed="false">
      <c r="B37" s="3" t="s">
        <v>40</v>
      </c>
    </row>
    <row r="38" customFormat="false" ht="18" hidden="false" customHeight="true" outlineLevel="0" collapsed="false">
      <c r="B38" s="4" t="s">
        <v>41</v>
      </c>
      <c r="C38" s="4"/>
      <c r="D38" s="4"/>
      <c r="E38" s="4"/>
      <c r="F38" s="4"/>
      <c r="G38" s="4"/>
      <c r="H38" s="4"/>
      <c r="I38" s="4"/>
    </row>
    <row r="39" customFormat="false" ht="18" hidden="false" customHeight="true" outlineLevel="0" collapsed="false">
      <c r="B39" s="4" t="s">
        <v>42</v>
      </c>
      <c r="C39" s="4"/>
      <c r="D39" s="4"/>
      <c r="E39" s="4"/>
      <c r="F39" s="4"/>
      <c r="G39" s="4"/>
      <c r="H39" s="4"/>
      <c r="I39" s="4"/>
    </row>
    <row r="40" customFormat="false" ht="18" hidden="false" customHeight="true" outlineLevel="0" collapsed="false">
      <c r="B40" s="4" t="s">
        <v>43</v>
      </c>
      <c r="C40" s="4"/>
      <c r="D40" s="4"/>
      <c r="E40" s="4"/>
      <c r="F40" s="4"/>
      <c r="G40" s="4"/>
      <c r="H40" s="4"/>
      <c r="I40" s="4"/>
    </row>
    <row r="41" customFormat="false" ht="18" hidden="false" customHeight="true" outlineLevel="0" collapsed="false">
      <c r="B41" s="4" t="s">
        <v>44</v>
      </c>
      <c r="C41" s="4"/>
      <c r="D41" s="4"/>
      <c r="E41" s="4"/>
      <c r="F41" s="4"/>
      <c r="G41" s="4"/>
      <c r="H41" s="4"/>
      <c r="I41" s="4"/>
    </row>
    <row r="42" customFormat="false" ht="18" hidden="false" customHeight="true" outlineLevel="0" collapsed="false">
      <c r="B42" s="4" t="s">
        <v>45</v>
      </c>
      <c r="C42" s="4"/>
      <c r="D42" s="4"/>
      <c r="E42" s="4"/>
      <c r="F42" s="4"/>
      <c r="G42" s="4"/>
      <c r="H42" s="4"/>
      <c r="I42" s="4"/>
    </row>
    <row r="43" customFormat="false" ht="18" hidden="false" customHeight="true" outlineLevel="0" collapsed="false">
      <c r="B43" s="4" t="s">
        <v>46</v>
      </c>
      <c r="C43" s="4"/>
      <c r="D43" s="4"/>
      <c r="E43" s="4"/>
      <c r="F43" s="4"/>
      <c r="G43" s="4"/>
      <c r="H43" s="4"/>
      <c r="I43" s="4"/>
    </row>
    <row r="44" customFormat="false" ht="18" hidden="false" customHeight="true" outlineLevel="0" collapsed="false">
      <c r="B44" s="4" t="s">
        <v>47</v>
      </c>
      <c r="C44" s="4"/>
      <c r="D44" s="4"/>
      <c r="E44" s="4"/>
      <c r="F44" s="4"/>
      <c r="G44" s="4"/>
      <c r="H44" s="4"/>
      <c r="I44" s="4"/>
    </row>
    <row r="45" customFormat="false" ht="18" hidden="false" customHeight="true" outlineLevel="0" collapsed="false">
      <c r="B45" s="4" t="s">
        <v>48</v>
      </c>
      <c r="C45" s="4"/>
      <c r="D45" s="4"/>
      <c r="E45" s="4"/>
      <c r="F45" s="4"/>
      <c r="G45" s="4"/>
      <c r="H45" s="4"/>
      <c r="I45" s="4"/>
    </row>
    <row r="46" customFormat="false" ht="18" hidden="false" customHeight="true" outlineLevel="0" collapsed="false">
      <c r="B46" s="4" t="s">
        <v>49</v>
      </c>
      <c r="C46" s="4"/>
      <c r="D46" s="4"/>
      <c r="E46" s="4"/>
      <c r="F46" s="4"/>
      <c r="G46" s="4"/>
      <c r="H46" s="4"/>
      <c r="I46" s="4"/>
    </row>
    <row r="47" customFormat="false" ht="18" hidden="false" customHeight="true" outlineLevel="0" collapsed="false">
      <c r="B47" s="4" t="s">
        <v>50</v>
      </c>
      <c r="C47" s="4"/>
      <c r="D47" s="4"/>
      <c r="E47" s="4"/>
      <c r="F47" s="4"/>
      <c r="G47" s="4"/>
      <c r="H47" s="4"/>
      <c r="I47" s="4"/>
    </row>
    <row r="48" customFormat="false" ht="18" hidden="false" customHeight="true" outlineLevel="0" collapsed="false">
      <c r="B48" s="4" t="s">
        <v>51</v>
      </c>
      <c r="C48" s="4"/>
      <c r="D48" s="4"/>
      <c r="E48" s="4"/>
      <c r="F48" s="4"/>
      <c r="G48" s="4"/>
      <c r="H48" s="4"/>
      <c r="I48" s="4"/>
    </row>
    <row r="49" customFormat="false" ht="18" hidden="false" customHeight="true" outlineLevel="0" collapsed="false">
      <c r="B49" s="4" t="s">
        <v>52</v>
      </c>
      <c r="C49" s="4"/>
      <c r="D49" s="4"/>
      <c r="E49" s="4"/>
      <c r="F49" s="4"/>
      <c r="G49" s="4"/>
      <c r="H49" s="4"/>
      <c r="I49" s="4"/>
    </row>
    <row r="50" customFormat="false" ht="30" hidden="false" customHeight="true" outlineLevel="0" collapsed="false">
      <c r="B50" s="4" t="s">
        <v>53</v>
      </c>
      <c r="C50" s="4"/>
      <c r="D50" s="4"/>
      <c r="E50" s="4"/>
      <c r="F50" s="4"/>
      <c r="G50" s="4"/>
      <c r="H50" s="4"/>
      <c r="I50" s="4"/>
    </row>
  </sheetData>
  <mergeCells count="31">
    <mergeCell ref="B6:I6"/>
    <mergeCell ref="B9:I9"/>
    <mergeCell ref="B12:I12"/>
    <mergeCell ref="B13:I13"/>
    <mergeCell ref="B14:I14"/>
    <mergeCell ref="B15:I15"/>
    <mergeCell ref="B16:I16"/>
    <mergeCell ref="B17:I17"/>
    <mergeCell ref="B20:I20"/>
    <mergeCell ref="B21:I21"/>
    <mergeCell ref="B22:I22"/>
    <mergeCell ref="B23:I23"/>
    <mergeCell ref="B24:I24"/>
    <mergeCell ref="B25:I25"/>
    <mergeCell ref="B26:I26"/>
    <mergeCell ref="B33:I33"/>
    <mergeCell ref="B34:I34"/>
    <mergeCell ref="B35:I35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  <mergeCell ref="B49:I49"/>
    <mergeCell ref="B50:I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4" min="3" style="0" width="11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8"/>
  </cols>
  <sheetData>
    <row r="1" customFormat="false" ht="19.7" hidden="false" customHeight="false" outlineLevel="0" collapsed="false">
      <c r="A1" s="8" t="s">
        <v>54</v>
      </c>
    </row>
    <row r="2" customFormat="false" ht="15" hidden="false" customHeight="false" outlineLevel="0" collapsed="false">
      <c r="A2" s="2" t="s">
        <v>55</v>
      </c>
    </row>
    <row r="4" customFormat="false" ht="23.85" hidden="false" customHeight="false" outlineLevel="0" collapsed="false">
      <c r="A4" s="6" t="s">
        <v>56</v>
      </c>
      <c r="B4" s="6" t="s">
        <v>57</v>
      </c>
      <c r="C4" s="6" t="s">
        <v>58</v>
      </c>
      <c r="D4" s="6" t="s">
        <v>59</v>
      </c>
      <c r="E4" s="6" t="s">
        <v>60</v>
      </c>
      <c r="F4" s="6" t="s">
        <v>61</v>
      </c>
      <c r="G4" s="6" t="s">
        <v>62</v>
      </c>
      <c r="H4" s="6" t="s">
        <v>63</v>
      </c>
      <c r="I4" s="6" t="s">
        <v>64</v>
      </c>
    </row>
    <row r="5" customFormat="false" ht="15" hidden="false" customHeight="false" outlineLevel="0" collapsed="false">
      <c r="A5" s="9" t="n">
        <v>1</v>
      </c>
      <c r="B5" s="10" t="s">
        <v>65</v>
      </c>
      <c r="C5" s="9" t="n">
        <f aca="false">COUNTIF(Tracker!$A$2:$A$151,A5)</f>
        <v>14</v>
      </c>
      <c r="D5" s="9" t="n">
        <f aca="false">COUNTIFS(Tracker!$A$2:$A$151,A5,Tracker!$H$2:$H$151,"&lt;&gt;")</f>
        <v>0</v>
      </c>
      <c r="E5" s="9" t="n">
        <f aca="false">COUNTIFS(Tracker!$A$2:$A$151,A5,Tracker!$Q$2:$Q$151,"Done")</f>
        <v>0</v>
      </c>
      <c r="F5" s="11" t="n">
        <f aca="false">IF(C5=0,0,E5/C5)</f>
        <v>0</v>
      </c>
      <c r="G5" s="9" t="n">
        <f aca="false">COUNTIFS(Tracker!$A$2:$A$151,A5,Tracker!$E$2:$E$151,"Easy")</f>
        <v>4</v>
      </c>
      <c r="H5" s="9" t="n">
        <f aca="false">COUNTIFS(Tracker!$A$2:$A$151,A5,Tracker!$E$2:$E$151,"Medium")</f>
        <v>9</v>
      </c>
      <c r="I5" s="9" t="n">
        <f aca="false">COUNTIFS(Tracker!$A$2:$A$151,A5,Tracker!$E$2:$E$151,"Hard")</f>
        <v>1</v>
      </c>
    </row>
    <row r="6" customFormat="false" ht="15" hidden="false" customHeight="false" outlineLevel="0" collapsed="false">
      <c r="A6" s="9" t="n">
        <v>2</v>
      </c>
      <c r="B6" s="10" t="s">
        <v>66</v>
      </c>
      <c r="C6" s="9" t="n">
        <f aca="false">COUNTIF(Tracker!$A$2:$A$151,A6)</f>
        <v>13</v>
      </c>
      <c r="D6" s="9" t="n">
        <f aca="false">COUNTIFS(Tracker!$A$2:$A$151,A6,Tracker!$H$2:$H$151,"&lt;&gt;")</f>
        <v>0</v>
      </c>
      <c r="E6" s="9" t="n">
        <f aca="false">COUNTIFS(Tracker!$A$2:$A$151,A6,Tracker!$Q$2:$Q$151,"Done")</f>
        <v>0</v>
      </c>
      <c r="F6" s="11" t="n">
        <f aca="false">IF(C6=0,0,E6/C6)</f>
        <v>0</v>
      </c>
      <c r="G6" s="9" t="n">
        <f aca="false">COUNTIFS(Tracker!$A$2:$A$151,A6,Tracker!$E$2:$E$151,"Easy")</f>
        <v>2</v>
      </c>
      <c r="H6" s="9" t="n">
        <f aca="false">COUNTIFS(Tracker!$A$2:$A$151,A6,Tracker!$E$2:$E$151,"Medium")</f>
        <v>8</v>
      </c>
      <c r="I6" s="9" t="n">
        <f aca="false">COUNTIFS(Tracker!$A$2:$A$151,A6,Tracker!$E$2:$E$151,"Hard")</f>
        <v>3</v>
      </c>
    </row>
    <row r="7" customFormat="false" ht="15" hidden="false" customHeight="false" outlineLevel="0" collapsed="false">
      <c r="A7" s="9" t="n">
        <v>3</v>
      </c>
      <c r="B7" s="10" t="s">
        <v>67</v>
      </c>
      <c r="C7" s="9" t="n">
        <f aca="false">COUNTIF(Tracker!$A$2:$A$151,A7)</f>
        <v>13</v>
      </c>
      <c r="D7" s="9" t="n">
        <f aca="false">COUNTIFS(Tracker!$A$2:$A$151,A7,Tracker!$H$2:$H$151,"&lt;&gt;")</f>
        <v>0</v>
      </c>
      <c r="E7" s="9" t="n">
        <f aca="false">COUNTIFS(Tracker!$A$2:$A$151,A7,Tracker!$Q$2:$Q$151,"Done")</f>
        <v>0</v>
      </c>
      <c r="F7" s="11" t="n">
        <f aca="false">IF(C7=0,0,E7/C7)</f>
        <v>0</v>
      </c>
      <c r="G7" s="9" t="n">
        <f aca="false">COUNTIFS(Tracker!$A$2:$A$151,A7,Tracker!$E$2:$E$151,"Easy")</f>
        <v>2</v>
      </c>
      <c r="H7" s="9" t="n">
        <f aca="false">COUNTIFS(Tracker!$A$2:$A$151,A7,Tracker!$E$2:$E$151,"Medium")</f>
        <v>9</v>
      </c>
      <c r="I7" s="9" t="n">
        <f aca="false">COUNTIFS(Tracker!$A$2:$A$151,A7,Tracker!$E$2:$E$151,"Hard")</f>
        <v>2</v>
      </c>
    </row>
    <row r="8" customFormat="false" ht="15" hidden="false" customHeight="false" outlineLevel="0" collapsed="false">
      <c r="A8" s="9" t="n">
        <v>4</v>
      </c>
      <c r="B8" s="10" t="s">
        <v>68</v>
      </c>
      <c r="C8" s="9" t="n">
        <f aca="false">COUNTIF(Tracker!$A$2:$A$151,A8)</f>
        <v>11</v>
      </c>
      <c r="D8" s="9" t="n">
        <f aca="false">COUNTIFS(Tracker!$A$2:$A$151,A8,Tracker!$H$2:$H$151,"&lt;&gt;")</f>
        <v>0</v>
      </c>
      <c r="E8" s="9" t="n">
        <f aca="false">COUNTIFS(Tracker!$A$2:$A$151,A8,Tracker!$Q$2:$Q$151,"Done")</f>
        <v>0</v>
      </c>
      <c r="F8" s="11" t="n">
        <f aca="false">IF(C8=0,0,E8/C8)</f>
        <v>0</v>
      </c>
      <c r="G8" s="9" t="n">
        <f aca="false">COUNTIFS(Tracker!$A$2:$A$151,A8,Tracker!$E$2:$E$151,"Easy")</f>
        <v>3</v>
      </c>
      <c r="H8" s="9" t="n">
        <f aca="false">COUNTIFS(Tracker!$A$2:$A$151,A8,Tracker!$E$2:$E$151,"Medium")</f>
        <v>6</v>
      </c>
      <c r="I8" s="9" t="n">
        <f aca="false">COUNTIFS(Tracker!$A$2:$A$151,A8,Tracker!$E$2:$E$151,"Hard")</f>
        <v>2</v>
      </c>
    </row>
    <row r="9" customFormat="false" ht="15" hidden="false" customHeight="false" outlineLevel="0" collapsed="false">
      <c r="A9" s="9" t="n">
        <v>5</v>
      </c>
      <c r="B9" s="10" t="s">
        <v>69</v>
      </c>
      <c r="C9" s="9" t="n">
        <f aca="false">COUNTIF(Tracker!$A$2:$A$151,A9)</f>
        <v>15</v>
      </c>
      <c r="D9" s="9" t="n">
        <f aca="false">COUNTIFS(Tracker!$A$2:$A$151,A9,Tracker!$H$2:$H$151,"&lt;&gt;")</f>
        <v>0</v>
      </c>
      <c r="E9" s="9" t="n">
        <f aca="false">COUNTIFS(Tracker!$A$2:$A$151,A9,Tracker!$Q$2:$Q$151,"Done")</f>
        <v>0</v>
      </c>
      <c r="F9" s="11" t="n">
        <f aca="false">IF(C9=0,0,E9/C9)</f>
        <v>0</v>
      </c>
      <c r="G9" s="9" t="n">
        <f aca="false">COUNTIFS(Tracker!$A$2:$A$151,A9,Tracker!$E$2:$E$151,"Easy")</f>
        <v>6</v>
      </c>
      <c r="H9" s="9" t="n">
        <f aca="false">COUNTIFS(Tracker!$A$2:$A$151,A9,Tracker!$E$2:$E$151,"Medium")</f>
        <v>7</v>
      </c>
      <c r="I9" s="9" t="n">
        <f aca="false">COUNTIFS(Tracker!$A$2:$A$151,A9,Tracker!$E$2:$E$151,"Hard")</f>
        <v>2</v>
      </c>
    </row>
    <row r="10" customFormat="false" ht="15" hidden="false" customHeight="false" outlineLevel="0" collapsed="false">
      <c r="A10" s="9" t="n">
        <v>6</v>
      </c>
      <c r="B10" s="10" t="s">
        <v>70</v>
      </c>
      <c r="C10" s="9" t="n">
        <f aca="false">COUNTIF(Tracker!$A$2:$A$151,A10)</f>
        <v>15</v>
      </c>
      <c r="D10" s="9" t="n">
        <f aca="false">COUNTIFS(Tracker!$A$2:$A$151,A10,Tracker!$H$2:$H$151,"&lt;&gt;")</f>
        <v>0</v>
      </c>
      <c r="E10" s="9" t="n">
        <f aca="false">COUNTIFS(Tracker!$A$2:$A$151,A10,Tracker!$Q$2:$Q$151,"Done")</f>
        <v>0</v>
      </c>
      <c r="F10" s="11" t="n">
        <f aca="false">IF(C10=0,0,E10/C10)</f>
        <v>0</v>
      </c>
      <c r="G10" s="9" t="n">
        <f aca="false">COUNTIFS(Tracker!$A$2:$A$151,A10,Tracker!$E$2:$E$151,"Easy")</f>
        <v>2</v>
      </c>
      <c r="H10" s="9" t="n">
        <f aca="false">COUNTIFS(Tracker!$A$2:$A$151,A10,Tracker!$E$2:$E$151,"Medium")</f>
        <v>12</v>
      </c>
      <c r="I10" s="9" t="n">
        <f aca="false">COUNTIFS(Tracker!$A$2:$A$151,A10,Tracker!$E$2:$E$151,"Hard")</f>
        <v>1</v>
      </c>
    </row>
    <row r="11" customFormat="false" ht="15" hidden="false" customHeight="false" outlineLevel="0" collapsed="false">
      <c r="A11" s="9" t="n">
        <v>7</v>
      </c>
      <c r="B11" s="10" t="s">
        <v>71</v>
      </c>
      <c r="C11" s="9" t="n">
        <f aca="false">COUNTIF(Tracker!$A$2:$A$151,A11)</f>
        <v>12</v>
      </c>
      <c r="D11" s="9" t="n">
        <f aca="false">COUNTIFS(Tracker!$A$2:$A$151,A11,Tracker!$H$2:$H$151,"&lt;&gt;")</f>
        <v>0</v>
      </c>
      <c r="E11" s="9" t="n">
        <f aca="false">COUNTIFS(Tracker!$A$2:$A$151,A11,Tracker!$Q$2:$Q$151,"Done")</f>
        <v>0</v>
      </c>
      <c r="F11" s="11" t="n">
        <f aca="false">IF(C11=0,0,E11/C11)</f>
        <v>0</v>
      </c>
      <c r="G11" s="9" t="n">
        <f aca="false">COUNTIFS(Tracker!$A$2:$A$151,A11,Tracker!$E$2:$E$151,"Easy")</f>
        <v>0</v>
      </c>
      <c r="H11" s="9" t="n">
        <f aca="false">COUNTIFS(Tracker!$A$2:$A$151,A11,Tracker!$E$2:$E$151,"Medium")</f>
        <v>10</v>
      </c>
      <c r="I11" s="9" t="n">
        <f aca="false">COUNTIFS(Tracker!$A$2:$A$151,A11,Tracker!$E$2:$E$151,"Hard")</f>
        <v>2</v>
      </c>
    </row>
    <row r="12" customFormat="false" ht="15" hidden="false" customHeight="false" outlineLevel="0" collapsed="false">
      <c r="A12" s="9" t="n">
        <v>8</v>
      </c>
      <c r="B12" s="10" t="s">
        <v>72</v>
      </c>
      <c r="C12" s="9" t="n">
        <f aca="false">COUNTIF(Tracker!$A$2:$A$151,A12)</f>
        <v>13</v>
      </c>
      <c r="D12" s="9" t="n">
        <f aca="false">COUNTIFS(Tracker!$A$2:$A$151,A12,Tracker!$H$2:$H$151,"&lt;&gt;")</f>
        <v>0</v>
      </c>
      <c r="E12" s="9" t="n">
        <f aca="false">COUNTIFS(Tracker!$A$2:$A$151,A12,Tracker!$Q$2:$Q$151,"Done")</f>
        <v>0</v>
      </c>
      <c r="F12" s="11" t="n">
        <f aca="false">IF(C12=0,0,E12/C12)</f>
        <v>0</v>
      </c>
      <c r="G12" s="9" t="n">
        <f aca="false">COUNTIFS(Tracker!$A$2:$A$151,A12,Tracker!$E$2:$E$151,"Easy")</f>
        <v>0</v>
      </c>
      <c r="H12" s="9" t="n">
        <f aca="false">COUNTIFS(Tracker!$A$2:$A$151,A12,Tracker!$E$2:$E$151,"Medium")</f>
        <v>12</v>
      </c>
      <c r="I12" s="9" t="n">
        <f aca="false">COUNTIFS(Tracker!$A$2:$A$151,A12,Tracker!$E$2:$E$151,"Hard")</f>
        <v>1</v>
      </c>
    </row>
    <row r="13" customFormat="false" ht="15" hidden="false" customHeight="false" outlineLevel="0" collapsed="false">
      <c r="A13" s="9" t="n">
        <v>9</v>
      </c>
      <c r="B13" s="10" t="s">
        <v>73</v>
      </c>
      <c r="C13" s="9" t="n">
        <f aca="false">COUNTIF(Tracker!$A$2:$A$151,A13)</f>
        <v>14</v>
      </c>
      <c r="D13" s="9" t="n">
        <f aca="false">COUNTIFS(Tracker!$A$2:$A$151,A13,Tracker!$H$2:$H$151,"&lt;&gt;")</f>
        <v>0</v>
      </c>
      <c r="E13" s="9" t="n">
        <f aca="false">COUNTIFS(Tracker!$A$2:$A$151,A13,Tracker!$Q$2:$Q$151,"Done")</f>
        <v>0</v>
      </c>
      <c r="F13" s="11" t="n">
        <f aca="false">IF(C13=0,0,E13/C13)</f>
        <v>0</v>
      </c>
      <c r="G13" s="9" t="n">
        <f aca="false">COUNTIFS(Tracker!$A$2:$A$151,A13,Tracker!$E$2:$E$151,"Easy")</f>
        <v>2</v>
      </c>
      <c r="H13" s="9" t="n">
        <f aca="false">COUNTIFS(Tracker!$A$2:$A$151,A13,Tracker!$E$2:$E$151,"Medium")</f>
        <v>9</v>
      </c>
      <c r="I13" s="9" t="n">
        <f aca="false">COUNTIFS(Tracker!$A$2:$A$151,A13,Tracker!$E$2:$E$151,"Hard")</f>
        <v>3</v>
      </c>
    </row>
    <row r="14" customFormat="false" ht="15" hidden="false" customHeight="false" outlineLevel="0" collapsed="false">
      <c r="A14" s="9" t="n">
        <v>10</v>
      </c>
      <c r="B14" s="10" t="s">
        <v>74</v>
      </c>
      <c r="C14" s="9" t="n">
        <f aca="false">COUNTIF(Tracker!$A$2:$A$151,A14)</f>
        <v>12</v>
      </c>
      <c r="D14" s="9" t="n">
        <f aca="false">COUNTIFS(Tracker!$A$2:$A$151,A14,Tracker!$H$2:$H$151,"&lt;&gt;")</f>
        <v>0</v>
      </c>
      <c r="E14" s="9" t="n">
        <f aca="false">COUNTIFS(Tracker!$A$2:$A$151,A14,Tracker!$Q$2:$Q$151,"Done")</f>
        <v>0</v>
      </c>
      <c r="F14" s="11" t="n">
        <f aca="false">IF(C14=0,0,E14/C14)</f>
        <v>0</v>
      </c>
      <c r="G14" s="9" t="n">
        <f aca="false">COUNTIFS(Tracker!$A$2:$A$151,A14,Tracker!$E$2:$E$151,"Easy")</f>
        <v>2</v>
      </c>
      <c r="H14" s="9" t="n">
        <f aca="false">COUNTIFS(Tracker!$A$2:$A$151,A14,Tracker!$E$2:$E$151,"Medium")</f>
        <v>10</v>
      </c>
      <c r="I14" s="9" t="n">
        <f aca="false">COUNTIFS(Tracker!$A$2:$A$151,A14,Tracker!$E$2:$E$151,"Hard")</f>
        <v>0</v>
      </c>
    </row>
    <row r="15" customFormat="false" ht="15" hidden="false" customHeight="false" outlineLevel="0" collapsed="false">
      <c r="A15" s="9" t="n">
        <v>11</v>
      </c>
      <c r="B15" s="10" t="s">
        <v>75</v>
      </c>
      <c r="C15" s="9" t="n">
        <f aca="false">COUNTIF(Tracker!$A$2:$A$151,A15)</f>
        <v>11</v>
      </c>
      <c r="D15" s="9" t="n">
        <f aca="false">COUNTIFS(Tracker!$A$2:$A$151,A15,Tracker!$H$2:$H$151,"&lt;&gt;")</f>
        <v>0</v>
      </c>
      <c r="E15" s="9" t="n">
        <f aca="false">COUNTIFS(Tracker!$A$2:$A$151,A15,Tracker!$Q$2:$Q$151,"Done")</f>
        <v>0</v>
      </c>
      <c r="F15" s="11" t="n">
        <f aca="false">IF(C15=0,0,E15/C15)</f>
        <v>0</v>
      </c>
      <c r="G15" s="9" t="n">
        <f aca="false">COUNTIFS(Tracker!$A$2:$A$151,A15,Tracker!$E$2:$E$151,"Easy")</f>
        <v>0</v>
      </c>
      <c r="H15" s="9" t="n">
        <f aca="false">COUNTIFS(Tracker!$A$2:$A$151,A15,Tracker!$E$2:$E$151,"Medium")</f>
        <v>7</v>
      </c>
      <c r="I15" s="9" t="n">
        <f aca="false">COUNTIFS(Tracker!$A$2:$A$151,A15,Tracker!$E$2:$E$151,"Hard")</f>
        <v>4</v>
      </c>
    </row>
    <row r="16" customFormat="false" ht="15" hidden="false" customHeight="false" outlineLevel="0" collapsed="false">
      <c r="A16" s="9" t="n">
        <v>12</v>
      </c>
      <c r="B16" s="10" t="s">
        <v>76</v>
      </c>
      <c r="C16" s="9" t="n">
        <f aca="false">COUNTIF(Tracker!$A$2:$A$151,A16)</f>
        <v>7</v>
      </c>
      <c r="D16" s="9" t="n">
        <f aca="false">COUNTIFS(Tracker!$A$2:$A$151,A16,Tracker!$H$2:$H$151,"&lt;&gt;")</f>
        <v>0</v>
      </c>
      <c r="E16" s="9" t="n">
        <f aca="false">COUNTIFS(Tracker!$A$2:$A$151,A16,Tracker!$Q$2:$Q$151,"Done")</f>
        <v>0</v>
      </c>
      <c r="F16" s="11" t="n">
        <f aca="false">IF(C16=0,0,E16/C16)</f>
        <v>0</v>
      </c>
      <c r="G16" s="9" t="n">
        <f aca="false">COUNTIFS(Tracker!$A$2:$A$151,A16,Tracker!$E$2:$E$151,"Easy")</f>
        <v>5</v>
      </c>
      <c r="H16" s="9" t="n">
        <f aca="false">COUNTIFS(Tracker!$A$2:$A$151,A16,Tracker!$E$2:$E$151,"Medium")</f>
        <v>2</v>
      </c>
      <c r="I16" s="9" t="n">
        <f aca="false">COUNTIFS(Tracker!$A$2:$A$151,A16,Tracker!$E$2:$E$151,"Hard")</f>
        <v>0</v>
      </c>
    </row>
    <row r="17" customFormat="false" ht="15" hidden="false" customHeight="false" outlineLevel="0" collapsed="false">
      <c r="A17" s="12"/>
      <c r="B17" s="12" t="s">
        <v>77</v>
      </c>
      <c r="C17" s="12" t="n">
        <f aca="false">SUM(C5:C16)</f>
        <v>150</v>
      </c>
      <c r="D17" s="12" t="n">
        <f aca="false">SUM(D5:D16)</f>
        <v>0</v>
      </c>
      <c r="E17" s="12" t="n">
        <f aca="false">SUM(E5:E16)</f>
        <v>0</v>
      </c>
      <c r="F17" s="13" t="n">
        <f aca="false">IF(C17=0,0,E17/C17)</f>
        <v>0</v>
      </c>
      <c r="G17" s="12" t="n">
        <f aca="false">SUM(G5:G16)</f>
        <v>28</v>
      </c>
      <c r="H17" s="12" t="n">
        <f aca="false">SUM(H5:H16)</f>
        <v>101</v>
      </c>
      <c r="I17" s="12" t="n">
        <f aca="false">SUM(I5:I16)</f>
        <v>21</v>
      </c>
    </row>
    <row r="19" customFormat="false" ht="15" hidden="false" customHeight="false" outlineLevel="0" collapsed="false">
      <c r="B19" s="14" t="s">
        <v>78</v>
      </c>
      <c r="C19" s="15" t="n">
        <f aca="false">COUNTIF(Tracker!$S$2:$S$151,"Re-solve due")</f>
        <v>0</v>
      </c>
    </row>
    <row r="20" customFormat="false" ht="15" hidden="false" customHeight="false" outlineLevel="0" collapsed="false">
      <c r="B20" s="14" t="s">
        <v>79</v>
      </c>
      <c r="C20" s="15" t="n">
        <f aca="false">COUNTIF(Tracker!$S$2:$S$151,"Redo")</f>
        <v>0</v>
      </c>
    </row>
  </sheetData>
  <conditionalFormatting sqref="F5:F17">
    <cfRule type="expression" priority="2" aboveAverage="0" equalAverage="0" bottom="0" percent="0" rank="0" text="" dxfId="0">
      <formula>F5&gt;=0.8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42"/>
    <col collapsed="false" customWidth="true" hidden="false" outlineLevel="0" max="5" min="5" style="0" width="11"/>
    <col collapsed="false" customWidth="true" hidden="false" outlineLevel="0" max="7" min="6" style="0" width="16"/>
    <col collapsed="false" customWidth="true" hidden="false" outlineLevel="0" max="8" min="8" style="0" width="13"/>
    <col collapsed="false" customWidth="true" hidden="false" outlineLevel="0" max="10" min="9" style="0" width="22"/>
    <col collapsed="false" customWidth="true" hidden="false" outlineLevel="0" max="11" min="11" style="0" width="36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14"/>
    <col collapsed="false" customWidth="true" hidden="false" outlineLevel="0" max="19" min="19" style="0" width="18"/>
  </cols>
  <sheetData>
    <row r="1" customFormat="false" ht="36" hidden="false" customHeight="true" outlineLevel="0" collapsed="false">
      <c r="A1" s="6" t="s">
        <v>56</v>
      </c>
      <c r="B1" s="6" t="s">
        <v>57</v>
      </c>
      <c r="C1" s="6" t="s">
        <v>80</v>
      </c>
      <c r="D1" s="6" t="s">
        <v>81</v>
      </c>
      <c r="E1" s="6" t="s">
        <v>82</v>
      </c>
      <c r="F1" s="6" t="s">
        <v>83</v>
      </c>
      <c r="G1" s="6" t="s">
        <v>84</v>
      </c>
      <c r="H1" s="16" t="s">
        <v>23</v>
      </c>
      <c r="I1" s="16" t="s">
        <v>24</v>
      </c>
      <c r="J1" s="16" t="s">
        <v>25</v>
      </c>
      <c r="K1" s="16" t="s">
        <v>26</v>
      </c>
      <c r="L1" s="6" t="s">
        <v>85</v>
      </c>
      <c r="M1" s="16" t="s">
        <v>27</v>
      </c>
      <c r="N1" s="6" t="s">
        <v>86</v>
      </c>
      <c r="O1" s="16" t="s">
        <v>28</v>
      </c>
      <c r="P1" s="6" t="s">
        <v>87</v>
      </c>
      <c r="Q1" s="16" t="s">
        <v>29</v>
      </c>
      <c r="R1" s="6" t="s">
        <v>88</v>
      </c>
      <c r="S1" s="6" t="s">
        <v>89</v>
      </c>
    </row>
    <row r="2" customFormat="false" ht="15" hidden="false" customHeight="false" outlineLevel="0" collapsed="false">
      <c r="A2" s="17" t="n">
        <v>1</v>
      </c>
      <c r="B2" s="18" t="s">
        <v>90</v>
      </c>
      <c r="C2" s="17" t="n">
        <v>217</v>
      </c>
      <c r="D2" s="19" t="s">
        <v>91</v>
      </c>
      <c r="E2" s="17" t="s">
        <v>62</v>
      </c>
      <c r="F2" s="20"/>
      <c r="G2" s="21" t="s">
        <v>92</v>
      </c>
      <c r="H2" s="22"/>
      <c r="I2" s="23"/>
      <c r="J2" s="23"/>
      <c r="K2" s="23"/>
      <c r="L2" s="24" t="str">
        <f aca="false">IF(H2="","",H2+2)</f>
        <v/>
      </c>
      <c r="M2" s="7"/>
      <c r="N2" s="24" t="str">
        <f aca="false">IF(H2="","",H2+6)</f>
        <v/>
      </c>
      <c r="O2" s="7"/>
      <c r="P2" s="24" t="str">
        <f aca="false">IF(H2="","",H2+29)</f>
        <v/>
      </c>
      <c r="Q2" s="7"/>
      <c r="R2" s="24" t="str">
        <f aca="false">IF(H2="","",IF(Q2="Done","Mastered",IF(M2&lt;&gt;"Done",L2,IF(O2&lt;&gt;"Done",N2,P2))))</f>
        <v/>
      </c>
      <c r="S2" s="17" t="str">
        <f aca="true">IF(H2="","Not started",IF(Q2="Done","Mastered",IF(OR(M2="Redo",O2="Redo",Q2="Redo"),"Redo",IF(R2&lt;=TODAY(),"Re-solve due","In progress"))))</f>
        <v>Not started</v>
      </c>
    </row>
    <row r="3" customFormat="false" ht="15" hidden="false" customHeight="false" outlineLevel="0" collapsed="false">
      <c r="A3" s="17" t="n">
        <v>1</v>
      </c>
      <c r="B3" s="18" t="s">
        <v>90</v>
      </c>
      <c r="C3" s="17" t="n">
        <v>242</v>
      </c>
      <c r="D3" s="19" t="s">
        <v>93</v>
      </c>
      <c r="E3" s="17" t="s">
        <v>62</v>
      </c>
      <c r="F3" s="20"/>
      <c r="G3" s="21" t="s">
        <v>92</v>
      </c>
      <c r="H3" s="22"/>
      <c r="I3" s="23"/>
      <c r="J3" s="23"/>
      <c r="K3" s="23"/>
      <c r="L3" s="24" t="str">
        <f aca="false">IF(H3="","",H3+2)</f>
        <v/>
      </c>
      <c r="M3" s="7"/>
      <c r="N3" s="24" t="str">
        <f aca="false">IF(H3="","",H3+6)</f>
        <v/>
      </c>
      <c r="O3" s="7"/>
      <c r="P3" s="24" t="str">
        <f aca="false">IF(H3="","",H3+29)</f>
        <v/>
      </c>
      <c r="Q3" s="7"/>
      <c r="R3" s="24" t="str">
        <f aca="false">IF(H3="","",IF(Q3="Done","Mastered",IF(M3&lt;&gt;"Done",L3,IF(O3&lt;&gt;"Done",N3,P3))))</f>
        <v/>
      </c>
      <c r="S3" s="17" t="str">
        <f aca="true">IF(H3="","Not started",IF(Q3="Done","Mastered",IF(OR(M3="Redo",O3="Redo",Q3="Redo"),"Redo",IF(R3&lt;=TODAY(),"Re-solve due","In progress"))))</f>
        <v>Not started</v>
      </c>
    </row>
    <row r="4" customFormat="false" ht="15" hidden="false" customHeight="false" outlineLevel="0" collapsed="false">
      <c r="A4" s="17" t="n">
        <v>1</v>
      </c>
      <c r="B4" s="18" t="s">
        <v>90</v>
      </c>
      <c r="C4" s="17" t="n">
        <v>1</v>
      </c>
      <c r="D4" s="19" t="s">
        <v>94</v>
      </c>
      <c r="E4" s="17" t="s">
        <v>62</v>
      </c>
      <c r="F4" s="20"/>
      <c r="G4" s="21" t="s">
        <v>92</v>
      </c>
      <c r="H4" s="22"/>
      <c r="I4" s="23"/>
      <c r="J4" s="23"/>
      <c r="K4" s="23"/>
      <c r="L4" s="24" t="str">
        <f aca="false">IF(H4="","",H4+2)</f>
        <v/>
      </c>
      <c r="M4" s="7"/>
      <c r="N4" s="24" t="str">
        <f aca="false">IF(H4="","",H4+6)</f>
        <v/>
      </c>
      <c r="O4" s="7"/>
      <c r="P4" s="24" t="str">
        <f aca="false">IF(H4="","",H4+29)</f>
        <v/>
      </c>
      <c r="Q4" s="7"/>
      <c r="R4" s="24" t="str">
        <f aca="false">IF(H4="","",IF(Q4="Done","Mastered",IF(M4&lt;&gt;"Done",L4,IF(O4&lt;&gt;"Done",N4,P4))))</f>
        <v/>
      </c>
      <c r="S4" s="17" t="str">
        <f aca="true">IF(H4="","Not started",IF(Q4="Done","Mastered",IF(OR(M4="Redo",O4="Redo",Q4="Redo"),"Redo",IF(R4&lt;=TODAY(),"Re-solve due","In progress"))))</f>
        <v>Not started</v>
      </c>
    </row>
    <row r="5" customFormat="false" ht="15" hidden="false" customHeight="false" outlineLevel="0" collapsed="false">
      <c r="A5" s="17" t="n">
        <v>1</v>
      </c>
      <c r="B5" s="18" t="s">
        <v>90</v>
      </c>
      <c r="C5" s="17" t="n">
        <v>49</v>
      </c>
      <c r="D5" s="19" t="s">
        <v>95</v>
      </c>
      <c r="E5" s="17" t="s">
        <v>63</v>
      </c>
      <c r="F5" s="20"/>
      <c r="G5" s="21" t="s">
        <v>92</v>
      </c>
      <c r="H5" s="22"/>
      <c r="I5" s="23"/>
      <c r="J5" s="23"/>
      <c r="K5" s="23"/>
      <c r="L5" s="24" t="str">
        <f aca="false">IF(H5="","",H5+2)</f>
        <v/>
      </c>
      <c r="M5" s="7"/>
      <c r="N5" s="24" t="str">
        <f aca="false">IF(H5="","",H5+6)</f>
        <v/>
      </c>
      <c r="O5" s="7"/>
      <c r="P5" s="24" t="str">
        <f aca="false">IF(H5="","",H5+29)</f>
        <v/>
      </c>
      <c r="Q5" s="7"/>
      <c r="R5" s="24" t="str">
        <f aca="false">IF(H5="","",IF(Q5="Done","Mastered",IF(M5&lt;&gt;"Done",L5,IF(O5&lt;&gt;"Done",N5,P5))))</f>
        <v/>
      </c>
      <c r="S5" s="17" t="str">
        <f aca="true">IF(H5="","Not started",IF(Q5="Done","Mastered",IF(OR(M5="Redo",O5="Redo",Q5="Redo"),"Redo",IF(R5&lt;=TODAY(),"Re-solve due","In progress"))))</f>
        <v>Not started</v>
      </c>
    </row>
    <row r="6" customFormat="false" ht="15" hidden="false" customHeight="false" outlineLevel="0" collapsed="false">
      <c r="A6" s="17" t="n">
        <v>1</v>
      </c>
      <c r="B6" s="18" t="s">
        <v>90</v>
      </c>
      <c r="C6" s="17" t="n">
        <v>347</v>
      </c>
      <c r="D6" s="19" t="s">
        <v>96</v>
      </c>
      <c r="E6" s="17" t="s">
        <v>63</v>
      </c>
      <c r="F6" s="20"/>
      <c r="G6" s="21" t="s">
        <v>92</v>
      </c>
      <c r="H6" s="22"/>
      <c r="I6" s="23"/>
      <c r="J6" s="23"/>
      <c r="K6" s="23"/>
      <c r="L6" s="24" t="str">
        <f aca="false">IF(H6="","",H6+2)</f>
        <v/>
      </c>
      <c r="M6" s="7"/>
      <c r="N6" s="24" t="str">
        <f aca="false">IF(H6="","",H6+6)</f>
        <v/>
      </c>
      <c r="O6" s="7"/>
      <c r="P6" s="24" t="str">
        <f aca="false">IF(H6="","",H6+29)</f>
        <v/>
      </c>
      <c r="Q6" s="7"/>
      <c r="R6" s="24" t="str">
        <f aca="false">IF(H6="","",IF(Q6="Done","Mastered",IF(M6&lt;&gt;"Done",L6,IF(O6&lt;&gt;"Done",N6,P6))))</f>
        <v/>
      </c>
      <c r="S6" s="17" t="str">
        <f aca="true">IF(H6="","Not started",IF(Q6="Done","Mastered",IF(OR(M6="Redo",O6="Redo",Q6="Redo"),"Redo",IF(R6&lt;=TODAY(),"Re-solve due","In progress"))))</f>
        <v>Not started</v>
      </c>
    </row>
    <row r="7" customFormat="false" ht="15" hidden="false" customHeight="false" outlineLevel="0" collapsed="false">
      <c r="A7" s="17" t="n">
        <v>1</v>
      </c>
      <c r="B7" s="18" t="s">
        <v>90</v>
      </c>
      <c r="C7" s="17" t="n">
        <v>238</v>
      </c>
      <c r="D7" s="19" t="s">
        <v>97</v>
      </c>
      <c r="E7" s="17" t="s">
        <v>63</v>
      </c>
      <c r="F7" s="20"/>
      <c r="G7" s="21" t="s">
        <v>92</v>
      </c>
      <c r="H7" s="22"/>
      <c r="I7" s="23"/>
      <c r="J7" s="23"/>
      <c r="K7" s="23"/>
      <c r="L7" s="24" t="str">
        <f aca="false">IF(H7="","",H7+2)</f>
        <v/>
      </c>
      <c r="M7" s="7"/>
      <c r="N7" s="24" t="str">
        <f aca="false">IF(H7="","",H7+6)</f>
        <v/>
      </c>
      <c r="O7" s="7"/>
      <c r="P7" s="24" t="str">
        <f aca="false">IF(H7="","",H7+29)</f>
        <v/>
      </c>
      <c r="Q7" s="7"/>
      <c r="R7" s="24" t="str">
        <f aca="false">IF(H7="","",IF(Q7="Done","Mastered",IF(M7&lt;&gt;"Done",L7,IF(O7&lt;&gt;"Done",N7,P7))))</f>
        <v/>
      </c>
      <c r="S7" s="17" t="str">
        <f aca="true">IF(H7="","Not started",IF(Q7="Done","Mastered",IF(OR(M7="Redo",O7="Redo",Q7="Redo"),"Redo",IF(R7&lt;=TODAY(),"Re-solve due","In progress"))))</f>
        <v>Not started</v>
      </c>
    </row>
    <row r="8" customFormat="false" ht="15" hidden="false" customHeight="false" outlineLevel="0" collapsed="false">
      <c r="A8" s="17" t="n">
        <v>1</v>
      </c>
      <c r="B8" s="18" t="s">
        <v>90</v>
      </c>
      <c r="C8" s="17" t="n">
        <v>36</v>
      </c>
      <c r="D8" s="19" t="s">
        <v>98</v>
      </c>
      <c r="E8" s="17" t="s">
        <v>63</v>
      </c>
      <c r="F8" s="20"/>
      <c r="G8" s="21" t="s">
        <v>92</v>
      </c>
      <c r="H8" s="22"/>
      <c r="I8" s="23"/>
      <c r="J8" s="23"/>
      <c r="K8" s="23"/>
      <c r="L8" s="24" t="str">
        <f aca="false">IF(H8="","",H8+2)</f>
        <v/>
      </c>
      <c r="M8" s="7"/>
      <c r="N8" s="24" t="str">
        <f aca="false">IF(H8="","",H8+6)</f>
        <v/>
      </c>
      <c r="O8" s="7"/>
      <c r="P8" s="24" t="str">
        <f aca="false">IF(H8="","",H8+29)</f>
        <v/>
      </c>
      <c r="Q8" s="7"/>
      <c r="R8" s="24" t="str">
        <f aca="false">IF(H8="","",IF(Q8="Done","Mastered",IF(M8&lt;&gt;"Done",L8,IF(O8&lt;&gt;"Done",N8,P8))))</f>
        <v/>
      </c>
      <c r="S8" s="17" t="str">
        <f aca="true">IF(H8="","Not started",IF(Q8="Done","Mastered",IF(OR(M8="Redo",O8="Redo",Q8="Redo"),"Redo",IF(R8&lt;=TODAY(),"Re-solve due","In progress"))))</f>
        <v>Not started</v>
      </c>
    </row>
    <row r="9" customFormat="false" ht="15" hidden="false" customHeight="false" outlineLevel="0" collapsed="false">
      <c r="A9" s="17" t="n">
        <v>1</v>
      </c>
      <c r="B9" s="18" t="s">
        <v>90</v>
      </c>
      <c r="C9" s="17" t="n">
        <v>271</v>
      </c>
      <c r="D9" s="19" t="s">
        <v>99</v>
      </c>
      <c r="E9" s="17" t="s">
        <v>63</v>
      </c>
      <c r="F9" s="21" t="s">
        <v>100</v>
      </c>
      <c r="G9" s="21" t="s">
        <v>92</v>
      </c>
      <c r="H9" s="22"/>
      <c r="I9" s="23"/>
      <c r="J9" s="23"/>
      <c r="K9" s="23"/>
      <c r="L9" s="24" t="str">
        <f aca="false">IF(H9="","",H9+2)</f>
        <v/>
      </c>
      <c r="M9" s="7"/>
      <c r="N9" s="24" t="str">
        <f aca="false">IF(H9="","",H9+6)</f>
        <v/>
      </c>
      <c r="O9" s="7"/>
      <c r="P9" s="24" t="str">
        <f aca="false">IF(H9="","",H9+29)</f>
        <v/>
      </c>
      <c r="Q9" s="7"/>
      <c r="R9" s="24" t="str">
        <f aca="false">IF(H9="","",IF(Q9="Done","Mastered",IF(M9&lt;&gt;"Done",L9,IF(O9&lt;&gt;"Done",N9,P9))))</f>
        <v/>
      </c>
      <c r="S9" s="17" t="str">
        <f aca="true">IF(H9="","Not started",IF(Q9="Done","Mastered",IF(OR(M9="Redo",O9="Redo",Q9="Redo"),"Redo",IF(R9&lt;=TODAY(),"Re-solve due","In progress"))))</f>
        <v>Not started</v>
      </c>
    </row>
    <row r="10" customFormat="false" ht="15" hidden="false" customHeight="false" outlineLevel="0" collapsed="false">
      <c r="A10" s="17" t="n">
        <v>1</v>
      </c>
      <c r="B10" s="18" t="s">
        <v>90</v>
      </c>
      <c r="C10" s="17" t="n">
        <v>128</v>
      </c>
      <c r="D10" s="19" t="s">
        <v>101</v>
      </c>
      <c r="E10" s="17" t="s">
        <v>63</v>
      </c>
      <c r="F10" s="20"/>
      <c r="G10" s="21" t="s">
        <v>92</v>
      </c>
      <c r="H10" s="22"/>
      <c r="I10" s="23"/>
      <c r="J10" s="23"/>
      <c r="K10" s="23"/>
      <c r="L10" s="24" t="str">
        <f aca="false">IF(H10="","",H10+2)</f>
        <v/>
      </c>
      <c r="M10" s="7"/>
      <c r="N10" s="24" t="str">
        <f aca="false">IF(H10="","",H10+6)</f>
        <v/>
      </c>
      <c r="O10" s="7"/>
      <c r="P10" s="24" t="str">
        <f aca="false">IF(H10="","",H10+29)</f>
        <v/>
      </c>
      <c r="Q10" s="7"/>
      <c r="R10" s="24" t="str">
        <f aca="false">IF(H10="","",IF(Q10="Done","Mastered",IF(M10&lt;&gt;"Done",L10,IF(O10&lt;&gt;"Done",N10,P10))))</f>
        <v/>
      </c>
      <c r="S10" s="17" t="str">
        <f aca="true">IF(H10="","Not started",IF(Q10="Done","Mastered",IF(OR(M10="Redo",O10="Redo",Q10="Redo"),"Redo",IF(R10&lt;=TODAY(),"Re-solve due","In progress"))))</f>
        <v>Not started</v>
      </c>
    </row>
    <row r="11" customFormat="false" ht="15" hidden="false" customHeight="false" outlineLevel="0" collapsed="false">
      <c r="A11" s="17" t="n">
        <v>1</v>
      </c>
      <c r="B11" s="18" t="s">
        <v>102</v>
      </c>
      <c r="C11" s="17" t="n">
        <v>125</v>
      </c>
      <c r="D11" s="19" t="s">
        <v>103</v>
      </c>
      <c r="E11" s="17" t="s">
        <v>62</v>
      </c>
      <c r="F11" s="20"/>
      <c r="G11" s="21" t="s">
        <v>92</v>
      </c>
      <c r="H11" s="22"/>
      <c r="I11" s="23"/>
      <c r="J11" s="23"/>
      <c r="K11" s="23"/>
      <c r="L11" s="24" t="str">
        <f aca="false">IF(H11="","",H11+2)</f>
        <v/>
      </c>
      <c r="M11" s="7"/>
      <c r="N11" s="24" t="str">
        <f aca="false">IF(H11="","",H11+6)</f>
        <v/>
      </c>
      <c r="O11" s="7"/>
      <c r="P11" s="24" t="str">
        <f aca="false">IF(H11="","",H11+29)</f>
        <v/>
      </c>
      <c r="Q11" s="7"/>
      <c r="R11" s="24" t="str">
        <f aca="false">IF(H11="","",IF(Q11="Done","Mastered",IF(M11&lt;&gt;"Done",L11,IF(O11&lt;&gt;"Done",N11,P11))))</f>
        <v/>
      </c>
      <c r="S11" s="17" t="str">
        <f aca="true">IF(H11="","Not started",IF(Q11="Done","Mastered",IF(OR(M11="Redo",O11="Redo",Q11="Redo"),"Redo",IF(R11&lt;=TODAY(),"Re-solve due","In progress"))))</f>
        <v>Not started</v>
      </c>
    </row>
    <row r="12" customFormat="false" ht="15" hidden="false" customHeight="false" outlineLevel="0" collapsed="false">
      <c r="A12" s="17" t="n">
        <v>1</v>
      </c>
      <c r="B12" s="18" t="s">
        <v>102</v>
      </c>
      <c r="C12" s="17" t="n">
        <v>167</v>
      </c>
      <c r="D12" s="19" t="s">
        <v>104</v>
      </c>
      <c r="E12" s="17" t="s">
        <v>63</v>
      </c>
      <c r="F12" s="20"/>
      <c r="G12" s="21" t="s">
        <v>92</v>
      </c>
      <c r="H12" s="22"/>
      <c r="I12" s="23"/>
      <c r="J12" s="23"/>
      <c r="K12" s="23"/>
      <c r="L12" s="24" t="str">
        <f aca="false">IF(H12="","",H12+2)</f>
        <v/>
      </c>
      <c r="M12" s="7"/>
      <c r="N12" s="24" t="str">
        <f aca="false">IF(H12="","",H12+6)</f>
        <v/>
      </c>
      <c r="O12" s="7"/>
      <c r="P12" s="24" t="str">
        <f aca="false">IF(H12="","",H12+29)</f>
        <v/>
      </c>
      <c r="Q12" s="7"/>
      <c r="R12" s="24" t="str">
        <f aca="false">IF(H12="","",IF(Q12="Done","Mastered",IF(M12&lt;&gt;"Done",L12,IF(O12&lt;&gt;"Done",N12,P12))))</f>
        <v/>
      </c>
      <c r="S12" s="17" t="str">
        <f aca="true">IF(H12="","Not started",IF(Q12="Done","Mastered",IF(OR(M12="Redo",O12="Redo",Q12="Redo"),"Redo",IF(R12&lt;=TODAY(),"Re-solve due","In progress"))))</f>
        <v>Not started</v>
      </c>
    </row>
    <row r="13" customFormat="false" ht="15" hidden="false" customHeight="false" outlineLevel="0" collapsed="false">
      <c r="A13" s="17" t="n">
        <v>1</v>
      </c>
      <c r="B13" s="18" t="s">
        <v>102</v>
      </c>
      <c r="C13" s="17" t="n">
        <v>15</v>
      </c>
      <c r="D13" s="19" t="s">
        <v>105</v>
      </c>
      <c r="E13" s="17" t="s">
        <v>63</v>
      </c>
      <c r="F13" s="20"/>
      <c r="G13" s="21" t="s">
        <v>92</v>
      </c>
      <c r="H13" s="22"/>
      <c r="I13" s="23"/>
      <c r="J13" s="23"/>
      <c r="K13" s="23"/>
      <c r="L13" s="24" t="str">
        <f aca="false">IF(H13="","",H13+2)</f>
        <v/>
      </c>
      <c r="M13" s="7"/>
      <c r="N13" s="24" t="str">
        <f aca="false">IF(H13="","",H13+6)</f>
        <v/>
      </c>
      <c r="O13" s="7"/>
      <c r="P13" s="24" t="str">
        <f aca="false">IF(H13="","",H13+29)</f>
        <v/>
      </c>
      <c r="Q13" s="7"/>
      <c r="R13" s="24" t="str">
        <f aca="false">IF(H13="","",IF(Q13="Done","Mastered",IF(M13&lt;&gt;"Done",L13,IF(O13&lt;&gt;"Done",N13,P13))))</f>
        <v/>
      </c>
      <c r="S13" s="17" t="str">
        <f aca="true">IF(H13="","Not started",IF(Q13="Done","Mastered",IF(OR(M13="Redo",O13="Redo",Q13="Redo"),"Redo",IF(R13&lt;=TODAY(),"Re-solve due","In progress"))))</f>
        <v>Not started</v>
      </c>
    </row>
    <row r="14" customFormat="false" ht="15" hidden="false" customHeight="false" outlineLevel="0" collapsed="false">
      <c r="A14" s="17" t="n">
        <v>1</v>
      </c>
      <c r="B14" s="18" t="s">
        <v>102</v>
      </c>
      <c r="C14" s="17" t="n">
        <v>11</v>
      </c>
      <c r="D14" s="19" t="s">
        <v>106</v>
      </c>
      <c r="E14" s="17" t="s">
        <v>63</v>
      </c>
      <c r="F14" s="20"/>
      <c r="G14" s="21" t="s">
        <v>92</v>
      </c>
      <c r="H14" s="22"/>
      <c r="I14" s="23"/>
      <c r="J14" s="23"/>
      <c r="K14" s="23"/>
      <c r="L14" s="24" t="str">
        <f aca="false">IF(H14="","",H14+2)</f>
        <v/>
      </c>
      <c r="M14" s="7"/>
      <c r="N14" s="24" t="str">
        <f aca="false">IF(H14="","",H14+6)</f>
        <v/>
      </c>
      <c r="O14" s="7"/>
      <c r="P14" s="24" t="str">
        <f aca="false">IF(H14="","",H14+29)</f>
        <v/>
      </c>
      <c r="Q14" s="7"/>
      <c r="R14" s="24" t="str">
        <f aca="false">IF(H14="","",IF(Q14="Done","Mastered",IF(M14&lt;&gt;"Done",L14,IF(O14&lt;&gt;"Done",N14,P14))))</f>
        <v/>
      </c>
      <c r="S14" s="17" t="str">
        <f aca="true">IF(H14="","Not started",IF(Q14="Done","Mastered",IF(OR(M14="Redo",O14="Redo",Q14="Redo"),"Redo",IF(R14&lt;=TODAY(),"Re-solve due","In progress"))))</f>
        <v>Not started</v>
      </c>
    </row>
    <row r="15" customFormat="false" ht="15" hidden="false" customHeight="false" outlineLevel="0" collapsed="false">
      <c r="A15" s="17" t="n">
        <v>1</v>
      </c>
      <c r="B15" s="18" t="s">
        <v>102</v>
      </c>
      <c r="C15" s="17" t="n">
        <v>42</v>
      </c>
      <c r="D15" s="19" t="s">
        <v>107</v>
      </c>
      <c r="E15" s="17" t="s">
        <v>64</v>
      </c>
      <c r="F15" s="20"/>
      <c r="G15" s="21" t="s">
        <v>92</v>
      </c>
      <c r="H15" s="22"/>
      <c r="I15" s="23"/>
      <c r="J15" s="23"/>
      <c r="K15" s="23"/>
      <c r="L15" s="24" t="str">
        <f aca="false">IF(H15="","",H15+2)</f>
        <v/>
      </c>
      <c r="M15" s="7"/>
      <c r="N15" s="24" t="str">
        <f aca="false">IF(H15="","",H15+6)</f>
        <v/>
      </c>
      <c r="O15" s="7"/>
      <c r="P15" s="24" t="str">
        <f aca="false">IF(H15="","",H15+29)</f>
        <v/>
      </c>
      <c r="Q15" s="7"/>
      <c r="R15" s="24" t="str">
        <f aca="false">IF(H15="","",IF(Q15="Done","Mastered",IF(M15&lt;&gt;"Done",L15,IF(O15&lt;&gt;"Done",N15,P15))))</f>
        <v/>
      </c>
      <c r="S15" s="17" t="str">
        <f aca="true">IF(H15="","Not started",IF(Q15="Done","Mastered",IF(OR(M15="Redo",O15="Redo",Q15="Redo"),"Redo",IF(R15&lt;=TODAY(),"Re-solve due","In progress"))))</f>
        <v>Not started</v>
      </c>
    </row>
    <row r="16" customFormat="false" ht="15" hidden="false" customHeight="false" outlineLevel="0" collapsed="false">
      <c r="A16" s="25" t="n">
        <v>2</v>
      </c>
      <c r="B16" s="26" t="s">
        <v>108</v>
      </c>
      <c r="C16" s="25" t="n">
        <v>121</v>
      </c>
      <c r="D16" s="27" t="s">
        <v>109</v>
      </c>
      <c r="E16" s="25" t="s">
        <v>62</v>
      </c>
      <c r="F16" s="28"/>
      <c r="G16" s="29" t="s">
        <v>92</v>
      </c>
      <c r="H16" s="22"/>
      <c r="I16" s="23"/>
      <c r="J16" s="23"/>
      <c r="K16" s="23"/>
      <c r="L16" s="30" t="str">
        <f aca="false">IF(H16="","",H16+2)</f>
        <v/>
      </c>
      <c r="M16" s="7"/>
      <c r="N16" s="30" t="str">
        <f aca="false">IF(H16="","",H16+6)</f>
        <v/>
      </c>
      <c r="O16" s="7"/>
      <c r="P16" s="30" t="str">
        <f aca="false">IF(H16="","",H16+29)</f>
        <v/>
      </c>
      <c r="Q16" s="7"/>
      <c r="R16" s="30" t="str">
        <f aca="false">IF(H16="","",IF(Q16="Done","Mastered",IF(M16&lt;&gt;"Done",L16,IF(O16&lt;&gt;"Done",N16,P16))))</f>
        <v/>
      </c>
      <c r="S16" s="25" t="str">
        <f aca="true">IF(H16="","Not started",IF(Q16="Done","Mastered",IF(OR(M16="Redo",O16="Redo",Q16="Redo"),"Redo",IF(R16&lt;=TODAY(),"Re-solve due","In progress"))))</f>
        <v>Not started</v>
      </c>
    </row>
    <row r="17" customFormat="false" ht="15" hidden="false" customHeight="false" outlineLevel="0" collapsed="false">
      <c r="A17" s="25" t="n">
        <v>2</v>
      </c>
      <c r="B17" s="26" t="s">
        <v>108</v>
      </c>
      <c r="C17" s="25" t="n">
        <v>3</v>
      </c>
      <c r="D17" s="27" t="s">
        <v>110</v>
      </c>
      <c r="E17" s="25" t="s">
        <v>63</v>
      </c>
      <c r="F17" s="28"/>
      <c r="G17" s="29" t="s">
        <v>92</v>
      </c>
      <c r="H17" s="22"/>
      <c r="I17" s="23"/>
      <c r="J17" s="23"/>
      <c r="K17" s="23"/>
      <c r="L17" s="30" t="str">
        <f aca="false">IF(H17="","",H17+2)</f>
        <v/>
      </c>
      <c r="M17" s="7"/>
      <c r="N17" s="30" t="str">
        <f aca="false">IF(H17="","",H17+6)</f>
        <v/>
      </c>
      <c r="O17" s="7"/>
      <c r="P17" s="30" t="str">
        <f aca="false">IF(H17="","",H17+29)</f>
        <v/>
      </c>
      <c r="Q17" s="7"/>
      <c r="R17" s="30" t="str">
        <f aca="false">IF(H17="","",IF(Q17="Done","Mastered",IF(M17&lt;&gt;"Done",L17,IF(O17&lt;&gt;"Done",N17,P17))))</f>
        <v/>
      </c>
      <c r="S17" s="25" t="str">
        <f aca="true">IF(H17="","Not started",IF(Q17="Done","Mastered",IF(OR(M17="Redo",O17="Redo",Q17="Redo"),"Redo",IF(R17&lt;=TODAY(),"Re-solve due","In progress"))))</f>
        <v>Not started</v>
      </c>
    </row>
    <row r="18" customFormat="false" ht="15" hidden="false" customHeight="false" outlineLevel="0" collapsed="false">
      <c r="A18" s="25" t="n">
        <v>2</v>
      </c>
      <c r="B18" s="26" t="s">
        <v>108</v>
      </c>
      <c r="C18" s="25" t="n">
        <v>424</v>
      </c>
      <c r="D18" s="27" t="s">
        <v>111</v>
      </c>
      <c r="E18" s="25" t="s">
        <v>63</v>
      </c>
      <c r="F18" s="28"/>
      <c r="G18" s="29" t="s">
        <v>92</v>
      </c>
      <c r="H18" s="22"/>
      <c r="I18" s="23"/>
      <c r="J18" s="23"/>
      <c r="K18" s="23"/>
      <c r="L18" s="30" t="str">
        <f aca="false">IF(H18="","",H18+2)</f>
        <v/>
      </c>
      <c r="M18" s="7"/>
      <c r="N18" s="30" t="str">
        <f aca="false">IF(H18="","",H18+6)</f>
        <v/>
      </c>
      <c r="O18" s="7"/>
      <c r="P18" s="30" t="str">
        <f aca="false">IF(H18="","",H18+29)</f>
        <v/>
      </c>
      <c r="Q18" s="7"/>
      <c r="R18" s="30" t="str">
        <f aca="false">IF(H18="","",IF(Q18="Done","Mastered",IF(M18&lt;&gt;"Done",L18,IF(O18&lt;&gt;"Done",N18,P18))))</f>
        <v/>
      </c>
      <c r="S18" s="25" t="str">
        <f aca="true">IF(H18="","Not started",IF(Q18="Done","Mastered",IF(OR(M18="Redo",O18="Redo",Q18="Redo"),"Redo",IF(R18&lt;=TODAY(),"Re-solve due","In progress"))))</f>
        <v>Not started</v>
      </c>
    </row>
    <row r="19" customFormat="false" ht="15" hidden="false" customHeight="false" outlineLevel="0" collapsed="false">
      <c r="A19" s="25" t="n">
        <v>2</v>
      </c>
      <c r="B19" s="26" t="s">
        <v>108</v>
      </c>
      <c r="C19" s="25" t="n">
        <v>567</v>
      </c>
      <c r="D19" s="27" t="s">
        <v>112</v>
      </c>
      <c r="E19" s="25" t="s">
        <v>63</v>
      </c>
      <c r="F19" s="28"/>
      <c r="G19" s="29" t="s">
        <v>92</v>
      </c>
      <c r="H19" s="22"/>
      <c r="I19" s="23"/>
      <c r="J19" s="23"/>
      <c r="K19" s="23"/>
      <c r="L19" s="30" t="str">
        <f aca="false">IF(H19="","",H19+2)</f>
        <v/>
      </c>
      <c r="M19" s="7"/>
      <c r="N19" s="30" t="str">
        <f aca="false">IF(H19="","",H19+6)</f>
        <v/>
      </c>
      <c r="O19" s="7"/>
      <c r="P19" s="30" t="str">
        <f aca="false">IF(H19="","",H19+29)</f>
        <v/>
      </c>
      <c r="Q19" s="7"/>
      <c r="R19" s="30" t="str">
        <f aca="false">IF(H19="","",IF(Q19="Done","Mastered",IF(M19&lt;&gt;"Done",L19,IF(O19&lt;&gt;"Done",N19,P19))))</f>
        <v/>
      </c>
      <c r="S19" s="25" t="str">
        <f aca="true">IF(H19="","Not started",IF(Q19="Done","Mastered",IF(OR(M19="Redo",O19="Redo",Q19="Redo"),"Redo",IF(R19&lt;=TODAY(),"Re-solve due","In progress"))))</f>
        <v>Not started</v>
      </c>
    </row>
    <row r="20" customFormat="false" ht="15" hidden="false" customHeight="false" outlineLevel="0" collapsed="false">
      <c r="A20" s="25" t="n">
        <v>2</v>
      </c>
      <c r="B20" s="26" t="s">
        <v>108</v>
      </c>
      <c r="C20" s="25" t="n">
        <v>76</v>
      </c>
      <c r="D20" s="27" t="s">
        <v>113</v>
      </c>
      <c r="E20" s="25" t="s">
        <v>64</v>
      </c>
      <c r="F20" s="28"/>
      <c r="G20" s="29" t="s">
        <v>92</v>
      </c>
      <c r="H20" s="22"/>
      <c r="I20" s="23"/>
      <c r="J20" s="23"/>
      <c r="K20" s="23"/>
      <c r="L20" s="30" t="str">
        <f aca="false">IF(H20="","",H20+2)</f>
        <v/>
      </c>
      <c r="M20" s="7"/>
      <c r="N20" s="30" t="str">
        <f aca="false">IF(H20="","",H20+6)</f>
        <v/>
      </c>
      <c r="O20" s="7"/>
      <c r="P20" s="30" t="str">
        <f aca="false">IF(H20="","",H20+29)</f>
        <v/>
      </c>
      <c r="Q20" s="7"/>
      <c r="R20" s="30" t="str">
        <f aca="false">IF(H20="","",IF(Q20="Done","Mastered",IF(M20&lt;&gt;"Done",L20,IF(O20&lt;&gt;"Done",N20,P20))))</f>
        <v/>
      </c>
      <c r="S20" s="25" t="str">
        <f aca="true">IF(H20="","Not started",IF(Q20="Done","Mastered",IF(OR(M20="Redo",O20="Redo",Q20="Redo"),"Redo",IF(R20&lt;=TODAY(),"Re-solve due","In progress"))))</f>
        <v>Not started</v>
      </c>
    </row>
    <row r="21" customFormat="false" ht="15" hidden="false" customHeight="false" outlineLevel="0" collapsed="false">
      <c r="A21" s="25" t="n">
        <v>2</v>
      </c>
      <c r="B21" s="26" t="s">
        <v>108</v>
      </c>
      <c r="C21" s="25" t="n">
        <v>239</v>
      </c>
      <c r="D21" s="27" t="s">
        <v>114</v>
      </c>
      <c r="E21" s="25" t="s">
        <v>64</v>
      </c>
      <c r="F21" s="28"/>
      <c r="G21" s="29" t="s">
        <v>92</v>
      </c>
      <c r="H21" s="22"/>
      <c r="I21" s="23"/>
      <c r="J21" s="23"/>
      <c r="K21" s="23"/>
      <c r="L21" s="30" t="str">
        <f aca="false">IF(H21="","",H21+2)</f>
        <v/>
      </c>
      <c r="M21" s="7"/>
      <c r="N21" s="30" t="str">
        <f aca="false">IF(H21="","",H21+6)</f>
        <v/>
      </c>
      <c r="O21" s="7"/>
      <c r="P21" s="30" t="str">
        <f aca="false">IF(H21="","",H21+29)</f>
        <v/>
      </c>
      <c r="Q21" s="7"/>
      <c r="R21" s="30" t="str">
        <f aca="false">IF(H21="","",IF(Q21="Done","Mastered",IF(M21&lt;&gt;"Done",L21,IF(O21&lt;&gt;"Done",N21,P21))))</f>
        <v/>
      </c>
      <c r="S21" s="25" t="str">
        <f aca="true">IF(H21="","Not started",IF(Q21="Done","Mastered",IF(OR(M21="Redo",O21="Redo",Q21="Redo"),"Redo",IF(R21&lt;=TODAY(),"Re-solve due","In progress"))))</f>
        <v>Not started</v>
      </c>
    </row>
    <row r="22" customFormat="false" ht="15" hidden="false" customHeight="false" outlineLevel="0" collapsed="false">
      <c r="A22" s="25" t="n">
        <v>2</v>
      </c>
      <c r="B22" s="26" t="s">
        <v>115</v>
      </c>
      <c r="C22" s="25" t="n">
        <v>20</v>
      </c>
      <c r="D22" s="27" t="s">
        <v>116</v>
      </c>
      <c r="E22" s="25" t="s">
        <v>62</v>
      </c>
      <c r="F22" s="28"/>
      <c r="G22" s="29" t="s">
        <v>92</v>
      </c>
      <c r="H22" s="22"/>
      <c r="I22" s="23"/>
      <c r="J22" s="23"/>
      <c r="K22" s="23"/>
      <c r="L22" s="30" t="str">
        <f aca="false">IF(H22="","",H22+2)</f>
        <v/>
      </c>
      <c r="M22" s="7"/>
      <c r="N22" s="30" t="str">
        <f aca="false">IF(H22="","",H22+6)</f>
        <v/>
      </c>
      <c r="O22" s="7"/>
      <c r="P22" s="30" t="str">
        <f aca="false">IF(H22="","",H22+29)</f>
        <v/>
      </c>
      <c r="Q22" s="7"/>
      <c r="R22" s="30" t="str">
        <f aca="false">IF(H22="","",IF(Q22="Done","Mastered",IF(M22&lt;&gt;"Done",L22,IF(O22&lt;&gt;"Done",N22,P22))))</f>
        <v/>
      </c>
      <c r="S22" s="25" t="str">
        <f aca="true">IF(H22="","Not started",IF(Q22="Done","Mastered",IF(OR(M22="Redo",O22="Redo",Q22="Redo"),"Redo",IF(R22&lt;=TODAY(),"Re-solve due","In progress"))))</f>
        <v>Not started</v>
      </c>
    </row>
    <row r="23" customFormat="false" ht="15" hidden="false" customHeight="false" outlineLevel="0" collapsed="false">
      <c r="A23" s="25" t="n">
        <v>2</v>
      </c>
      <c r="B23" s="26" t="s">
        <v>115</v>
      </c>
      <c r="C23" s="25" t="n">
        <v>155</v>
      </c>
      <c r="D23" s="27" t="s">
        <v>117</v>
      </c>
      <c r="E23" s="25" t="s">
        <v>63</v>
      </c>
      <c r="F23" s="28"/>
      <c r="G23" s="29" t="s">
        <v>92</v>
      </c>
      <c r="H23" s="22"/>
      <c r="I23" s="23"/>
      <c r="J23" s="23"/>
      <c r="K23" s="23"/>
      <c r="L23" s="30" t="str">
        <f aca="false">IF(H23="","",H23+2)</f>
        <v/>
      </c>
      <c r="M23" s="7"/>
      <c r="N23" s="30" t="str">
        <f aca="false">IF(H23="","",H23+6)</f>
        <v/>
      </c>
      <c r="O23" s="7"/>
      <c r="P23" s="30" t="str">
        <f aca="false">IF(H23="","",H23+29)</f>
        <v/>
      </c>
      <c r="Q23" s="7"/>
      <c r="R23" s="30" t="str">
        <f aca="false">IF(H23="","",IF(Q23="Done","Mastered",IF(M23&lt;&gt;"Done",L23,IF(O23&lt;&gt;"Done",N23,P23))))</f>
        <v/>
      </c>
      <c r="S23" s="25" t="str">
        <f aca="true">IF(H23="","Not started",IF(Q23="Done","Mastered",IF(OR(M23="Redo",O23="Redo",Q23="Redo"),"Redo",IF(R23&lt;=TODAY(),"Re-solve due","In progress"))))</f>
        <v>Not started</v>
      </c>
    </row>
    <row r="24" customFormat="false" ht="15" hidden="false" customHeight="false" outlineLevel="0" collapsed="false">
      <c r="A24" s="25" t="n">
        <v>2</v>
      </c>
      <c r="B24" s="26" t="s">
        <v>115</v>
      </c>
      <c r="C24" s="25" t="n">
        <v>150</v>
      </c>
      <c r="D24" s="27" t="s">
        <v>118</v>
      </c>
      <c r="E24" s="25" t="s">
        <v>63</v>
      </c>
      <c r="F24" s="28"/>
      <c r="G24" s="29" t="s">
        <v>92</v>
      </c>
      <c r="H24" s="22"/>
      <c r="I24" s="23"/>
      <c r="J24" s="23"/>
      <c r="K24" s="23"/>
      <c r="L24" s="30" t="str">
        <f aca="false">IF(H24="","",H24+2)</f>
        <v/>
      </c>
      <c r="M24" s="7"/>
      <c r="N24" s="30" t="str">
        <f aca="false">IF(H24="","",H24+6)</f>
        <v/>
      </c>
      <c r="O24" s="7"/>
      <c r="P24" s="30" t="str">
        <f aca="false">IF(H24="","",H24+29)</f>
        <v/>
      </c>
      <c r="Q24" s="7"/>
      <c r="R24" s="30" t="str">
        <f aca="false">IF(H24="","",IF(Q24="Done","Mastered",IF(M24&lt;&gt;"Done",L24,IF(O24&lt;&gt;"Done",N24,P24))))</f>
        <v/>
      </c>
      <c r="S24" s="25" t="str">
        <f aca="true">IF(H24="","Not started",IF(Q24="Done","Mastered",IF(OR(M24="Redo",O24="Redo",Q24="Redo"),"Redo",IF(R24&lt;=TODAY(),"Re-solve due","In progress"))))</f>
        <v>Not started</v>
      </c>
    </row>
    <row r="25" customFormat="false" ht="15" hidden="false" customHeight="false" outlineLevel="0" collapsed="false">
      <c r="A25" s="25" t="n">
        <v>2</v>
      </c>
      <c r="B25" s="26" t="s">
        <v>115</v>
      </c>
      <c r="C25" s="25" t="n">
        <v>22</v>
      </c>
      <c r="D25" s="27" t="s">
        <v>119</v>
      </c>
      <c r="E25" s="25" t="s">
        <v>63</v>
      </c>
      <c r="F25" s="28"/>
      <c r="G25" s="29" t="s">
        <v>92</v>
      </c>
      <c r="H25" s="22"/>
      <c r="I25" s="23"/>
      <c r="J25" s="23"/>
      <c r="K25" s="23"/>
      <c r="L25" s="30" t="str">
        <f aca="false">IF(H25="","",H25+2)</f>
        <v/>
      </c>
      <c r="M25" s="7"/>
      <c r="N25" s="30" t="str">
        <f aca="false">IF(H25="","",H25+6)</f>
        <v/>
      </c>
      <c r="O25" s="7"/>
      <c r="P25" s="30" t="str">
        <f aca="false">IF(H25="","",H25+29)</f>
        <v/>
      </c>
      <c r="Q25" s="7"/>
      <c r="R25" s="30" t="str">
        <f aca="false">IF(H25="","",IF(Q25="Done","Mastered",IF(M25&lt;&gt;"Done",L25,IF(O25&lt;&gt;"Done",N25,P25))))</f>
        <v/>
      </c>
      <c r="S25" s="25" t="str">
        <f aca="true">IF(H25="","Not started",IF(Q25="Done","Mastered",IF(OR(M25="Redo",O25="Redo",Q25="Redo"),"Redo",IF(R25&lt;=TODAY(),"Re-solve due","In progress"))))</f>
        <v>Not started</v>
      </c>
    </row>
    <row r="26" customFormat="false" ht="15" hidden="false" customHeight="false" outlineLevel="0" collapsed="false">
      <c r="A26" s="25" t="n">
        <v>2</v>
      </c>
      <c r="B26" s="26" t="s">
        <v>115</v>
      </c>
      <c r="C26" s="25" t="n">
        <v>739</v>
      </c>
      <c r="D26" s="27" t="s">
        <v>120</v>
      </c>
      <c r="E26" s="25" t="s">
        <v>63</v>
      </c>
      <c r="F26" s="28"/>
      <c r="G26" s="29" t="s">
        <v>92</v>
      </c>
      <c r="H26" s="22"/>
      <c r="I26" s="23"/>
      <c r="J26" s="23"/>
      <c r="K26" s="23"/>
      <c r="L26" s="30" t="str">
        <f aca="false">IF(H26="","",H26+2)</f>
        <v/>
      </c>
      <c r="M26" s="7"/>
      <c r="N26" s="30" t="str">
        <f aca="false">IF(H26="","",H26+6)</f>
        <v/>
      </c>
      <c r="O26" s="7"/>
      <c r="P26" s="30" t="str">
        <f aca="false">IF(H26="","",H26+29)</f>
        <v/>
      </c>
      <c r="Q26" s="7"/>
      <c r="R26" s="30" t="str">
        <f aca="false">IF(H26="","",IF(Q26="Done","Mastered",IF(M26&lt;&gt;"Done",L26,IF(O26&lt;&gt;"Done",N26,P26))))</f>
        <v/>
      </c>
      <c r="S26" s="25" t="str">
        <f aca="true">IF(H26="","Not started",IF(Q26="Done","Mastered",IF(OR(M26="Redo",O26="Redo",Q26="Redo"),"Redo",IF(R26&lt;=TODAY(),"Re-solve due","In progress"))))</f>
        <v>Not started</v>
      </c>
    </row>
    <row r="27" customFormat="false" ht="15" hidden="false" customHeight="false" outlineLevel="0" collapsed="false">
      <c r="A27" s="25" t="n">
        <v>2</v>
      </c>
      <c r="B27" s="26" t="s">
        <v>115</v>
      </c>
      <c r="C27" s="25" t="n">
        <v>853</v>
      </c>
      <c r="D27" s="27" t="s">
        <v>121</v>
      </c>
      <c r="E27" s="25" t="s">
        <v>63</v>
      </c>
      <c r="F27" s="28"/>
      <c r="G27" s="29" t="s">
        <v>92</v>
      </c>
      <c r="H27" s="22"/>
      <c r="I27" s="23"/>
      <c r="J27" s="23"/>
      <c r="K27" s="23"/>
      <c r="L27" s="30" t="str">
        <f aca="false">IF(H27="","",H27+2)</f>
        <v/>
      </c>
      <c r="M27" s="7"/>
      <c r="N27" s="30" t="str">
        <f aca="false">IF(H27="","",H27+6)</f>
        <v/>
      </c>
      <c r="O27" s="7"/>
      <c r="P27" s="30" t="str">
        <f aca="false">IF(H27="","",H27+29)</f>
        <v/>
      </c>
      <c r="Q27" s="7"/>
      <c r="R27" s="30" t="str">
        <f aca="false">IF(H27="","",IF(Q27="Done","Mastered",IF(M27&lt;&gt;"Done",L27,IF(O27&lt;&gt;"Done",N27,P27))))</f>
        <v/>
      </c>
      <c r="S27" s="25" t="str">
        <f aca="true">IF(H27="","Not started",IF(Q27="Done","Mastered",IF(OR(M27="Redo",O27="Redo",Q27="Redo"),"Redo",IF(R27&lt;=TODAY(),"Re-solve due","In progress"))))</f>
        <v>Not started</v>
      </c>
    </row>
    <row r="28" customFormat="false" ht="15" hidden="false" customHeight="false" outlineLevel="0" collapsed="false">
      <c r="A28" s="25" t="n">
        <v>2</v>
      </c>
      <c r="B28" s="26" t="s">
        <v>115</v>
      </c>
      <c r="C28" s="25" t="n">
        <v>84</v>
      </c>
      <c r="D28" s="27" t="s">
        <v>122</v>
      </c>
      <c r="E28" s="25" t="s">
        <v>64</v>
      </c>
      <c r="F28" s="28"/>
      <c r="G28" s="29" t="s">
        <v>92</v>
      </c>
      <c r="H28" s="22"/>
      <c r="I28" s="23"/>
      <c r="J28" s="23"/>
      <c r="K28" s="23"/>
      <c r="L28" s="30" t="str">
        <f aca="false">IF(H28="","",H28+2)</f>
        <v/>
      </c>
      <c r="M28" s="7"/>
      <c r="N28" s="30" t="str">
        <f aca="false">IF(H28="","",H28+6)</f>
        <v/>
      </c>
      <c r="O28" s="7"/>
      <c r="P28" s="30" t="str">
        <f aca="false">IF(H28="","",H28+29)</f>
        <v/>
      </c>
      <c r="Q28" s="7"/>
      <c r="R28" s="30" t="str">
        <f aca="false">IF(H28="","",IF(Q28="Done","Mastered",IF(M28&lt;&gt;"Done",L28,IF(O28&lt;&gt;"Done",N28,P28))))</f>
        <v/>
      </c>
      <c r="S28" s="25" t="str">
        <f aca="true">IF(H28="","Not started",IF(Q28="Done","Mastered",IF(OR(M28="Redo",O28="Redo",Q28="Redo"),"Redo",IF(R28&lt;=TODAY(),"Re-solve due","In progress"))))</f>
        <v>Not started</v>
      </c>
    </row>
    <row r="29" customFormat="false" ht="15" hidden="false" customHeight="false" outlineLevel="0" collapsed="false">
      <c r="A29" s="17" t="n">
        <v>3</v>
      </c>
      <c r="B29" s="18" t="s">
        <v>123</v>
      </c>
      <c r="C29" s="17" t="n">
        <v>704</v>
      </c>
      <c r="D29" s="19" t="s">
        <v>123</v>
      </c>
      <c r="E29" s="17" t="s">
        <v>62</v>
      </c>
      <c r="F29" s="20"/>
      <c r="G29" s="21" t="s">
        <v>92</v>
      </c>
      <c r="H29" s="22"/>
      <c r="I29" s="23"/>
      <c r="J29" s="23"/>
      <c r="K29" s="23"/>
      <c r="L29" s="24" t="str">
        <f aca="false">IF(H29="","",H29+2)</f>
        <v/>
      </c>
      <c r="M29" s="7"/>
      <c r="N29" s="24" t="str">
        <f aca="false">IF(H29="","",H29+6)</f>
        <v/>
      </c>
      <c r="O29" s="7"/>
      <c r="P29" s="24" t="str">
        <f aca="false">IF(H29="","",H29+29)</f>
        <v/>
      </c>
      <c r="Q29" s="7"/>
      <c r="R29" s="24" t="str">
        <f aca="false">IF(H29="","",IF(Q29="Done","Mastered",IF(M29&lt;&gt;"Done",L29,IF(O29&lt;&gt;"Done",N29,P29))))</f>
        <v/>
      </c>
      <c r="S29" s="17" t="str">
        <f aca="true">IF(H29="","Not started",IF(Q29="Done","Mastered",IF(OR(M29="Redo",O29="Redo",Q29="Redo"),"Redo",IF(R29&lt;=TODAY(),"Re-solve due","In progress"))))</f>
        <v>Not started</v>
      </c>
    </row>
    <row r="30" customFormat="false" ht="15" hidden="false" customHeight="false" outlineLevel="0" collapsed="false">
      <c r="A30" s="17" t="n">
        <v>3</v>
      </c>
      <c r="B30" s="18" t="s">
        <v>123</v>
      </c>
      <c r="C30" s="17" t="n">
        <v>74</v>
      </c>
      <c r="D30" s="19" t="s">
        <v>124</v>
      </c>
      <c r="E30" s="17" t="s">
        <v>63</v>
      </c>
      <c r="F30" s="20"/>
      <c r="G30" s="21" t="s">
        <v>92</v>
      </c>
      <c r="H30" s="22"/>
      <c r="I30" s="23"/>
      <c r="J30" s="23"/>
      <c r="K30" s="23"/>
      <c r="L30" s="24" t="str">
        <f aca="false">IF(H30="","",H30+2)</f>
        <v/>
      </c>
      <c r="M30" s="7"/>
      <c r="N30" s="24" t="str">
        <f aca="false">IF(H30="","",H30+6)</f>
        <v/>
      </c>
      <c r="O30" s="7"/>
      <c r="P30" s="24" t="str">
        <f aca="false">IF(H30="","",H30+29)</f>
        <v/>
      </c>
      <c r="Q30" s="7"/>
      <c r="R30" s="24" t="str">
        <f aca="false">IF(H30="","",IF(Q30="Done","Mastered",IF(M30&lt;&gt;"Done",L30,IF(O30&lt;&gt;"Done",N30,P30))))</f>
        <v/>
      </c>
      <c r="S30" s="17" t="str">
        <f aca="true">IF(H30="","Not started",IF(Q30="Done","Mastered",IF(OR(M30="Redo",O30="Redo",Q30="Redo"),"Redo",IF(R30&lt;=TODAY(),"Re-solve due","In progress"))))</f>
        <v>Not started</v>
      </c>
    </row>
    <row r="31" customFormat="false" ht="15" hidden="false" customHeight="false" outlineLevel="0" collapsed="false">
      <c r="A31" s="17" t="n">
        <v>3</v>
      </c>
      <c r="B31" s="18" t="s">
        <v>123</v>
      </c>
      <c r="C31" s="17" t="n">
        <v>875</v>
      </c>
      <c r="D31" s="19" t="s">
        <v>125</v>
      </c>
      <c r="E31" s="17" t="s">
        <v>63</v>
      </c>
      <c r="F31" s="20"/>
      <c r="G31" s="21" t="s">
        <v>92</v>
      </c>
      <c r="H31" s="22"/>
      <c r="I31" s="23"/>
      <c r="J31" s="23"/>
      <c r="K31" s="23"/>
      <c r="L31" s="24" t="str">
        <f aca="false">IF(H31="","",H31+2)</f>
        <v/>
      </c>
      <c r="M31" s="7"/>
      <c r="N31" s="24" t="str">
        <f aca="false">IF(H31="","",H31+6)</f>
        <v/>
      </c>
      <c r="O31" s="7"/>
      <c r="P31" s="24" t="str">
        <f aca="false">IF(H31="","",H31+29)</f>
        <v/>
      </c>
      <c r="Q31" s="7"/>
      <c r="R31" s="24" t="str">
        <f aca="false">IF(H31="","",IF(Q31="Done","Mastered",IF(M31&lt;&gt;"Done",L31,IF(O31&lt;&gt;"Done",N31,P31))))</f>
        <v/>
      </c>
      <c r="S31" s="17" t="str">
        <f aca="true">IF(H31="","Not started",IF(Q31="Done","Mastered",IF(OR(M31="Redo",O31="Redo",Q31="Redo"),"Redo",IF(R31&lt;=TODAY(),"Re-solve due","In progress"))))</f>
        <v>Not started</v>
      </c>
    </row>
    <row r="32" customFormat="false" ht="15" hidden="false" customHeight="false" outlineLevel="0" collapsed="false">
      <c r="A32" s="17" t="n">
        <v>3</v>
      </c>
      <c r="B32" s="18" t="s">
        <v>123</v>
      </c>
      <c r="C32" s="17" t="n">
        <v>153</v>
      </c>
      <c r="D32" s="19" t="s">
        <v>126</v>
      </c>
      <c r="E32" s="17" t="s">
        <v>63</v>
      </c>
      <c r="F32" s="20"/>
      <c r="G32" s="21" t="s">
        <v>92</v>
      </c>
      <c r="H32" s="22"/>
      <c r="I32" s="23"/>
      <c r="J32" s="23"/>
      <c r="K32" s="23"/>
      <c r="L32" s="24" t="str">
        <f aca="false">IF(H32="","",H32+2)</f>
        <v/>
      </c>
      <c r="M32" s="7"/>
      <c r="N32" s="24" t="str">
        <f aca="false">IF(H32="","",H32+6)</f>
        <v/>
      </c>
      <c r="O32" s="7"/>
      <c r="P32" s="24" t="str">
        <f aca="false">IF(H32="","",H32+29)</f>
        <v/>
      </c>
      <c r="Q32" s="7"/>
      <c r="R32" s="24" t="str">
        <f aca="false">IF(H32="","",IF(Q32="Done","Mastered",IF(M32&lt;&gt;"Done",L32,IF(O32&lt;&gt;"Done",N32,P32))))</f>
        <v/>
      </c>
      <c r="S32" s="17" t="str">
        <f aca="true">IF(H32="","Not started",IF(Q32="Done","Mastered",IF(OR(M32="Redo",O32="Redo",Q32="Redo"),"Redo",IF(R32&lt;=TODAY(),"Re-solve due","In progress"))))</f>
        <v>Not started</v>
      </c>
    </row>
    <row r="33" customFormat="false" ht="15" hidden="false" customHeight="false" outlineLevel="0" collapsed="false">
      <c r="A33" s="17" t="n">
        <v>3</v>
      </c>
      <c r="B33" s="18" t="s">
        <v>123</v>
      </c>
      <c r="C33" s="17" t="n">
        <v>33</v>
      </c>
      <c r="D33" s="19" t="s">
        <v>127</v>
      </c>
      <c r="E33" s="17" t="s">
        <v>63</v>
      </c>
      <c r="F33" s="20"/>
      <c r="G33" s="21" t="s">
        <v>92</v>
      </c>
      <c r="H33" s="22"/>
      <c r="I33" s="23"/>
      <c r="J33" s="23"/>
      <c r="K33" s="23"/>
      <c r="L33" s="24" t="str">
        <f aca="false">IF(H33="","",H33+2)</f>
        <v/>
      </c>
      <c r="M33" s="7"/>
      <c r="N33" s="24" t="str">
        <f aca="false">IF(H33="","",H33+6)</f>
        <v/>
      </c>
      <c r="O33" s="7"/>
      <c r="P33" s="24" t="str">
        <f aca="false">IF(H33="","",H33+29)</f>
        <v/>
      </c>
      <c r="Q33" s="7"/>
      <c r="R33" s="24" t="str">
        <f aca="false">IF(H33="","",IF(Q33="Done","Mastered",IF(M33&lt;&gt;"Done",L33,IF(O33&lt;&gt;"Done",N33,P33))))</f>
        <v/>
      </c>
      <c r="S33" s="17" t="str">
        <f aca="true">IF(H33="","Not started",IF(Q33="Done","Mastered",IF(OR(M33="Redo",O33="Redo",Q33="Redo"),"Redo",IF(R33&lt;=TODAY(),"Re-solve due","In progress"))))</f>
        <v>Not started</v>
      </c>
    </row>
    <row r="34" customFormat="false" ht="15" hidden="false" customHeight="false" outlineLevel="0" collapsed="false">
      <c r="A34" s="17" t="n">
        <v>3</v>
      </c>
      <c r="B34" s="18" t="s">
        <v>123</v>
      </c>
      <c r="C34" s="17" t="n">
        <v>981</v>
      </c>
      <c r="D34" s="19" t="s">
        <v>128</v>
      </c>
      <c r="E34" s="17" t="s">
        <v>63</v>
      </c>
      <c r="F34" s="20"/>
      <c r="G34" s="21" t="s">
        <v>92</v>
      </c>
      <c r="H34" s="22"/>
      <c r="I34" s="23"/>
      <c r="J34" s="23"/>
      <c r="K34" s="23"/>
      <c r="L34" s="24" t="str">
        <f aca="false">IF(H34="","",H34+2)</f>
        <v/>
      </c>
      <c r="M34" s="7"/>
      <c r="N34" s="24" t="str">
        <f aca="false">IF(H34="","",H34+6)</f>
        <v/>
      </c>
      <c r="O34" s="7"/>
      <c r="P34" s="24" t="str">
        <f aca="false">IF(H34="","",H34+29)</f>
        <v/>
      </c>
      <c r="Q34" s="7"/>
      <c r="R34" s="24" t="str">
        <f aca="false">IF(H34="","",IF(Q34="Done","Mastered",IF(M34&lt;&gt;"Done",L34,IF(O34&lt;&gt;"Done",N34,P34))))</f>
        <v/>
      </c>
      <c r="S34" s="17" t="str">
        <f aca="true">IF(H34="","Not started",IF(Q34="Done","Mastered",IF(OR(M34="Redo",O34="Redo",Q34="Redo"),"Redo",IF(R34&lt;=TODAY(),"Re-solve due","In progress"))))</f>
        <v>Not started</v>
      </c>
    </row>
    <row r="35" customFormat="false" ht="15" hidden="false" customHeight="false" outlineLevel="0" collapsed="false">
      <c r="A35" s="17" t="n">
        <v>3</v>
      </c>
      <c r="B35" s="18" t="s">
        <v>123</v>
      </c>
      <c r="C35" s="17" t="n">
        <v>4</v>
      </c>
      <c r="D35" s="19" t="s">
        <v>129</v>
      </c>
      <c r="E35" s="17" t="s">
        <v>64</v>
      </c>
      <c r="F35" s="20"/>
      <c r="G35" s="21" t="s">
        <v>92</v>
      </c>
      <c r="H35" s="22"/>
      <c r="I35" s="23"/>
      <c r="J35" s="23"/>
      <c r="K35" s="23"/>
      <c r="L35" s="24" t="str">
        <f aca="false">IF(H35="","",H35+2)</f>
        <v/>
      </c>
      <c r="M35" s="7"/>
      <c r="N35" s="24" t="str">
        <f aca="false">IF(H35="","",H35+6)</f>
        <v/>
      </c>
      <c r="O35" s="7"/>
      <c r="P35" s="24" t="str">
        <f aca="false">IF(H35="","",H35+29)</f>
        <v/>
      </c>
      <c r="Q35" s="7"/>
      <c r="R35" s="24" t="str">
        <f aca="false">IF(H35="","",IF(Q35="Done","Mastered",IF(M35&lt;&gt;"Done",L35,IF(O35&lt;&gt;"Done",N35,P35))))</f>
        <v/>
      </c>
      <c r="S35" s="17" t="str">
        <f aca="true">IF(H35="","Not started",IF(Q35="Done","Mastered",IF(OR(M35="Redo",O35="Redo",Q35="Redo"),"Redo",IF(R35&lt;=TODAY(),"Re-solve due","In progress"))))</f>
        <v>Not started</v>
      </c>
    </row>
    <row r="36" customFormat="false" ht="15" hidden="false" customHeight="false" outlineLevel="0" collapsed="false">
      <c r="A36" s="17" t="n">
        <v>3</v>
      </c>
      <c r="B36" s="18" t="s">
        <v>130</v>
      </c>
      <c r="C36" s="17" t="n">
        <v>252</v>
      </c>
      <c r="D36" s="19" t="s">
        <v>131</v>
      </c>
      <c r="E36" s="17" t="s">
        <v>62</v>
      </c>
      <c r="F36" s="21" t="s">
        <v>100</v>
      </c>
      <c r="G36" s="21" t="s">
        <v>92</v>
      </c>
      <c r="H36" s="22"/>
      <c r="I36" s="23"/>
      <c r="J36" s="23"/>
      <c r="K36" s="23"/>
      <c r="L36" s="24" t="str">
        <f aca="false">IF(H36="","",H36+2)</f>
        <v/>
      </c>
      <c r="M36" s="7"/>
      <c r="N36" s="24" t="str">
        <f aca="false">IF(H36="","",H36+6)</f>
        <v/>
      </c>
      <c r="O36" s="7"/>
      <c r="P36" s="24" t="str">
        <f aca="false">IF(H36="","",H36+29)</f>
        <v/>
      </c>
      <c r="Q36" s="7"/>
      <c r="R36" s="24" t="str">
        <f aca="false">IF(H36="","",IF(Q36="Done","Mastered",IF(M36&lt;&gt;"Done",L36,IF(O36&lt;&gt;"Done",N36,P36))))</f>
        <v/>
      </c>
      <c r="S36" s="17" t="str">
        <f aca="true">IF(H36="","Not started",IF(Q36="Done","Mastered",IF(OR(M36="Redo",O36="Redo",Q36="Redo"),"Redo",IF(R36&lt;=TODAY(),"Re-solve due","In progress"))))</f>
        <v>Not started</v>
      </c>
    </row>
    <row r="37" customFormat="false" ht="15" hidden="false" customHeight="false" outlineLevel="0" collapsed="false">
      <c r="A37" s="17" t="n">
        <v>3</v>
      </c>
      <c r="B37" s="18" t="s">
        <v>130</v>
      </c>
      <c r="C37" s="17" t="n">
        <v>57</v>
      </c>
      <c r="D37" s="19" t="s">
        <v>132</v>
      </c>
      <c r="E37" s="17" t="s">
        <v>63</v>
      </c>
      <c r="F37" s="20"/>
      <c r="G37" s="21" t="s">
        <v>92</v>
      </c>
      <c r="H37" s="22"/>
      <c r="I37" s="23"/>
      <c r="J37" s="23"/>
      <c r="K37" s="23"/>
      <c r="L37" s="24" t="str">
        <f aca="false">IF(H37="","",H37+2)</f>
        <v/>
      </c>
      <c r="M37" s="7"/>
      <c r="N37" s="24" t="str">
        <f aca="false">IF(H37="","",H37+6)</f>
        <v/>
      </c>
      <c r="O37" s="7"/>
      <c r="P37" s="24" t="str">
        <f aca="false">IF(H37="","",H37+29)</f>
        <v/>
      </c>
      <c r="Q37" s="7"/>
      <c r="R37" s="24" t="str">
        <f aca="false">IF(H37="","",IF(Q37="Done","Mastered",IF(M37&lt;&gt;"Done",L37,IF(O37&lt;&gt;"Done",N37,P37))))</f>
        <v/>
      </c>
      <c r="S37" s="17" t="str">
        <f aca="true">IF(H37="","Not started",IF(Q37="Done","Mastered",IF(OR(M37="Redo",O37="Redo",Q37="Redo"),"Redo",IF(R37&lt;=TODAY(),"Re-solve due","In progress"))))</f>
        <v>Not started</v>
      </c>
    </row>
    <row r="38" customFormat="false" ht="15" hidden="false" customHeight="false" outlineLevel="0" collapsed="false">
      <c r="A38" s="17" t="n">
        <v>3</v>
      </c>
      <c r="B38" s="18" t="s">
        <v>130</v>
      </c>
      <c r="C38" s="17" t="n">
        <v>56</v>
      </c>
      <c r="D38" s="19" t="s">
        <v>133</v>
      </c>
      <c r="E38" s="17" t="s">
        <v>63</v>
      </c>
      <c r="F38" s="20"/>
      <c r="G38" s="21" t="s">
        <v>92</v>
      </c>
      <c r="H38" s="22"/>
      <c r="I38" s="23"/>
      <c r="J38" s="23"/>
      <c r="K38" s="23"/>
      <c r="L38" s="24" t="str">
        <f aca="false">IF(H38="","",H38+2)</f>
        <v/>
      </c>
      <c r="M38" s="7"/>
      <c r="N38" s="24" t="str">
        <f aca="false">IF(H38="","",H38+6)</f>
        <v/>
      </c>
      <c r="O38" s="7"/>
      <c r="P38" s="24" t="str">
        <f aca="false">IF(H38="","",H38+29)</f>
        <v/>
      </c>
      <c r="Q38" s="7"/>
      <c r="R38" s="24" t="str">
        <f aca="false">IF(H38="","",IF(Q38="Done","Mastered",IF(M38&lt;&gt;"Done",L38,IF(O38&lt;&gt;"Done",N38,P38))))</f>
        <v/>
      </c>
      <c r="S38" s="17" t="str">
        <f aca="true">IF(H38="","Not started",IF(Q38="Done","Mastered",IF(OR(M38="Redo",O38="Redo",Q38="Redo"),"Redo",IF(R38&lt;=TODAY(),"Re-solve due","In progress"))))</f>
        <v>Not started</v>
      </c>
    </row>
    <row r="39" customFormat="false" ht="15" hidden="false" customHeight="false" outlineLevel="0" collapsed="false">
      <c r="A39" s="17" t="n">
        <v>3</v>
      </c>
      <c r="B39" s="18" t="s">
        <v>130</v>
      </c>
      <c r="C39" s="17" t="n">
        <v>435</v>
      </c>
      <c r="D39" s="19" t="s">
        <v>134</v>
      </c>
      <c r="E39" s="17" t="s">
        <v>63</v>
      </c>
      <c r="F39" s="20"/>
      <c r="G39" s="21" t="s">
        <v>92</v>
      </c>
      <c r="H39" s="22"/>
      <c r="I39" s="23"/>
      <c r="J39" s="23"/>
      <c r="K39" s="23"/>
      <c r="L39" s="24" t="str">
        <f aca="false">IF(H39="","",H39+2)</f>
        <v/>
      </c>
      <c r="M39" s="7"/>
      <c r="N39" s="24" t="str">
        <f aca="false">IF(H39="","",H39+6)</f>
        <v/>
      </c>
      <c r="O39" s="7"/>
      <c r="P39" s="24" t="str">
        <f aca="false">IF(H39="","",H39+29)</f>
        <v/>
      </c>
      <c r="Q39" s="7"/>
      <c r="R39" s="24" t="str">
        <f aca="false">IF(H39="","",IF(Q39="Done","Mastered",IF(M39&lt;&gt;"Done",L39,IF(O39&lt;&gt;"Done",N39,P39))))</f>
        <v/>
      </c>
      <c r="S39" s="17" t="str">
        <f aca="true">IF(H39="","Not started",IF(Q39="Done","Mastered",IF(OR(M39="Redo",O39="Redo",Q39="Redo"),"Redo",IF(R39&lt;=TODAY(),"Re-solve due","In progress"))))</f>
        <v>Not started</v>
      </c>
    </row>
    <row r="40" customFormat="false" ht="15" hidden="false" customHeight="false" outlineLevel="0" collapsed="false">
      <c r="A40" s="17" t="n">
        <v>3</v>
      </c>
      <c r="B40" s="18" t="s">
        <v>130</v>
      </c>
      <c r="C40" s="17" t="n">
        <v>253</v>
      </c>
      <c r="D40" s="19" t="s">
        <v>135</v>
      </c>
      <c r="E40" s="17" t="s">
        <v>63</v>
      </c>
      <c r="F40" s="21" t="s">
        <v>100</v>
      </c>
      <c r="G40" s="21" t="s">
        <v>92</v>
      </c>
      <c r="H40" s="22"/>
      <c r="I40" s="23"/>
      <c r="J40" s="23"/>
      <c r="K40" s="23"/>
      <c r="L40" s="24" t="str">
        <f aca="false">IF(H40="","",H40+2)</f>
        <v/>
      </c>
      <c r="M40" s="7"/>
      <c r="N40" s="24" t="str">
        <f aca="false">IF(H40="","",H40+6)</f>
        <v/>
      </c>
      <c r="O40" s="7"/>
      <c r="P40" s="24" t="str">
        <f aca="false">IF(H40="","",H40+29)</f>
        <v/>
      </c>
      <c r="Q40" s="7"/>
      <c r="R40" s="24" t="str">
        <f aca="false">IF(H40="","",IF(Q40="Done","Mastered",IF(M40&lt;&gt;"Done",L40,IF(O40&lt;&gt;"Done",N40,P40))))</f>
        <v/>
      </c>
      <c r="S40" s="17" t="str">
        <f aca="true">IF(H40="","Not started",IF(Q40="Done","Mastered",IF(OR(M40="Redo",O40="Redo",Q40="Redo"),"Redo",IF(R40&lt;=TODAY(),"Re-solve due","In progress"))))</f>
        <v>Not started</v>
      </c>
    </row>
    <row r="41" customFormat="false" ht="15" hidden="false" customHeight="false" outlineLevel="0" collapsed="false">
      <c r="A41" s="17" t="n">
        <v>3</v>
      </c>
      <c r="B41" s="18" t="s">
        <v>130</v>
      </c>
      <c r="C41" s="17" t="n">
        <v>1851</v>
      </c>
      <c r="D41" s="19" t="s">
        <v>136</v>
      </c>
      <c r="E41" s="17" t="s">
        <v>64</v>
      </c>
      <c r="F41" s="20"/>
      <c r="G41" s="21" t="s">
        <v>92</v>
      </c>
      <c r="H41" s="22"/>
      <c r="I41" s="23"/>
      <c r="J41" s="23"/>
      <c r="K41" s="23"/>
      <c r="L41" s="24" t="str">
        <f aca="false">IF(H41="","",H41+2)</f>
        <v/>
      </c>
      <c r="M41" s="7"/>
      <c r="N41" s="24" t="str">
        <f aca="false">IF(H41="","",H41+6)</f>
        <v/>
      </c>
      <c r="O41" s="7"/>
      <c r="P41" s="24" t="str">
        <f aca="false">IF(H41="","",H41+29)</f>
        <v/>
      </c>
      <c r="Q41" s="7"/>
      <c r="R41" s="24" t="str">
        <f aca="false">IF(H41="","",IF(Q41="Done","Mastered",IF(M41&lt;&gt;"Done",L41,IF(O41&lt;&gt;"Done",N41,P41))))</f>
        <v/>
      </c>
      <c r="S41" s="17" t="str">
        <f aca="true">IF(H41="","Not started",IF(Q41="Done","Mastered",IF(OR(M41="Redo",O41="Redo",Q41="Redo"),"Redo",IF(R41&lt;=TODAY(),"Re-solve due","In progress"))))</f>
        <v>Not started</v>
      </c>
    </row>
    <row r="42" customFormat="false" ht="15" hidden="false" customHeight="false" outlineLevel="0" collapsed="false">
      <c r="A42" s="25" t="n">
        <v>4</v>
      </c>
      <c r="B42" s="26" t="s">
        <v>68</v>
      </c>
      <c r="C42" s="25" t="n">
        <v>206</v>
      </c>
      <c r="D42" s="27" t="s">
        <v>137</v>
      </c>
      <c r="E42" s="25" t="s">
        <v>62</v>
      </c>
      <c r="F42" s="28"/>
      <c r="G42" s="29" t="s">
        <v>92</v>
      </c>
      <c r="H42" s="22"/>
      <c r="I42" s="23"/>
      <c r="J42" s="23"/>
      <c r="K42" s="23"/>
      <c r="L42" s="30" t="str">
        <f aca="false">IF(H42="","",H42+2)</f>
        <v/>
      </c>
      <c r="M42" s="7"/>
      <c r="N42" s="30" t="str">
        <f aca="false">IF(H42="","",H42+6)</f>
        <v/>
      </c>
      <c r="O42" s="7"/>
      <c r="P42" s="30" t="str">
        <f aca="false">IF(H42="","",H42+29)</f>
        <v/>
      </c>
      <c r="Q42" s="7"/>
      <c r="R42" s="30" t="str">
        <f aca="false">IF(H42="","",IF(Q42="Done","Mastered",IF(M42&lt;&gt;"Done",L42,IF(O42&lt;&gt;"Done",N42,P42))))</f>
        <v/>
      </c>
      <c r="S42" s="25" t="str">
        <f aca="true">IF(H42="","Not started",IF(Q42="Done","Mastered",IF(OR(M42="Redo",O42="Redo",Q42="Redo"),"Redo",IF(R42&lt;=TODAY(),"Re-solve due","In progress"))))</f>
        <v>Not started</v>
      </c>
    </row>
    <row r="43" customFormat="false" ht="15" hidden="false" customHeight="false" outlineLevel="0" collapsed="false">
      <c r="A43" s="25" t="n">
        <v>4</v>
      </c>
      <c r="B43" s="26" t="s">
        <v>68</v>
      </c>
      <c r="C43" s="25" t="n">
        <v>21</v>
      </c>
      <c r="D43" s="27" t="s">
        <v>138</v>
      </c>
      <c r="E43" s="25" t="s">
        <v>62</v>
      </c>
      <c r="F43" s="28"/>
      <c r="G43" s="29" t="s">
        <v>92</v>
      </c>
      <c r="H43" s="22"/>
      <c r="I43" s="23"/>
      <c r="J43" s="23"/>
      <c r="K43" s="23"/>
      <c r="L43" s="30" t="str">
        <f aca="false">IF(H43="","",H43+2)</f>
        <v/>
      </c>
      <c r="M43" s="7"/>
      <c r="N43" s="30" t="str">
        <f aca="false">IF(H43="","",H43+6)</f>
        <v/>
      </c>
      <c r="O43" s="7"/>
      <c r="P43" s="30" t="str">
        <f aca="false">IF(H43="","",H43+29)</f>
        <v/>
      </c>
      <c r="Q43" s="7"/>
      <c r="R43" s="30" t="str">
        <f aca="false">IF(H43="","",IF(Q43="Done","Mastered",IF(M43&lt;&gt;"Done",L43,IF(O43&lt;&gt;"Done",N43,P43))))</f>
        <v/>
      </c>
      <c r="S43" s="25" t="str">
        <f aca="true">IF(H43="","Not started",IF(Q43="Done","Mastered",IF(OR(M43="Redo",O43="Redo",Q43="Redo"),"Redo",IF(R43&lt;=TODAY(),"Re-solve due","In progress"))))</f>
        <v>Not started</v>
      </c>
    </row>
    <row r="44" customFormat="false" ht="15" hidden="false" customHeight="false" outlineLevel="0" collapsed="false">
      <c r="A44" s="25" t="n">
        <v>4</v>
      </c>
      <c r="B44" s="26" t="s">
        <v>68</v>
      </c>
      <c r="C44" s="25" t="n">
        <v>141</v>
      </c>
      <c r="D44" s="27" t="s">
        <v>139</v>
      </c>
      <c r="E44" s="25" t="s">
        <v>62</v>
      </c>
      <c r="F44" s="28"/>
      <c r="G44" s="29" t="s">
        <v>92</v>
      </c>
      <c r="H44" s="22"/>
      <c r="I44" s="23"/>
      <c r="J44" s="23"/>
      <c r="K44" s="23"/>
      <c r="L44" s="30" t="str">
        <f aca="false">IF(H44="","",H44+2)</f>
        <v/>
      </c>
      <c r="M44" s="7"/>
      <c r="N44" s="30" t="str">
        <f aca="false">IF(H44="","",H44+6)</f>
        <v/>
      </c>
      <c r="O44" s="7"/>
      <c r="P44" s="30" t="str">
        <f aca="false">IF(H44="","",H44+29)</f>
        <v/>
      </c>
      <c r="Q44" s="7"/>
      <c r="R44" s="30" t="str">
        <f aca="false">IF(H44="","",IF(Q44="Done","Mastered",IF(M44&lt;&gt;"Done",L44,IF(O44&lt;&gt;"Done",N44,P44))))</f>
        <v/>
      </c>
      <c r="S44" s="25" t="str">
        <f aca="true">IF(H44="","Not started",IF(Q44="Done","Mastered",IF(OR(M44="Redo",O44="Redo",Q44="Redo"),"Redo",IF(R44&lt;=TODAY(),"Re-solve due","In progress"))))</f>
        <v>Not started</v>
      </c>
    </row>
    <row r="45" customFormat="false" ht="15" hidden="false" customHeight="false" outlineLevel="0" collapsed="false">
      <c r="A45" s="25" t="n">
        <v>4</v>
      </c>
      <c r="B45" s="26" t="s">
        <v>68</v>
      </c>
      <c r="C45" s="25" t="n">
        <v>143</v>
      </c>
      <c r="D45" s="27" t="s">
        <v>140</v>
      </c>
      <c r="E45" s="25" t="s">
        <v>63</v>
      </c>
      <c r="F45" s="28"/>
      <c r="G45" s="29" t="s">
        <v>92</v>
      </c>
      <c r="H45" s="22"/>
      <c r="I45" s="23"/>
      <c r="J45" s="23"/>
      <c r="K45" s="23"/>
      <c r="L45" s="30" t="str">
        <f aca="false">IF(H45="","",H45+2)</f>
        <v/>
      </c>
      <c r="M45" s="7"/>
      <c r="N45" s="30" t="str">
        <f aca="false">IF(H45="","",H45+6)</f>
        <v/>
      </c>
      <c r="O45" s="7"/>
      <c r="P45" s="30" t="str">
        <f aca="false">IF(H45="","",H45+29)</f>
        <v/>
      </c>
      <c r="Q45" s="7"/>
      <c r="R45" s="30" t="str">
        <f aca="false">IF(H45="","",IF(Q45="Done","Mastered",IF(M45&lt;&gt;"Done",L45,IF(O45&lt;&gt;"Done",N45,P45))))</f>
        <v/>
      </c>
      <c r="S45" s="25" t="str">
        <f aca="true">IF(H45="","Not started",IF(Q45="Done","Mastered",IF(OR(M45="Redo",O45="Redo",Q45="Redo"),"Redo",IF(R45&lt;=TODAY(),"Re-solve due","In progress"))))</f>
        <v>Not started</v>
      </c>
    </row>
    <row r="46" customFormat="false" ht="15" hidden="false" customHeight="false" outlineLevel="0" collapsed="false">
      <c r="A46" s="25" t="n">
        <v>4</v>
      </c>
      <c r="B46" s="26" t="s">
        <v>68</v>
      </c>
      <c r="C46" s="25" t="n">
        <v>19</v>
      </c>
      <c r="D46" s="27" t="s">
        <v>141</v>
      </c>
      <c r="E46" s="25" t="s">
        <v>63</v>
      </c>
      <c r="F46" s="28"/>
      <c r="G46" s="29" t="s">
        <v>92</v>
      </c>
      <c r="H46" s="22"/>
      <c r="I46" s="23"/>
      <c r="J46" s="23"/>
      <c r="K46" s="23"/>
      <c r="L46" s="30" t="str">
        <f aca="false">IF(H46="","",H46+2)</f>
        <v/>
      </c>
      <c r="M46" s="7"/>
      <c r="N46" s="30" t="str">
        <f aca="false">IF(H46="","",H46+6)</f>
        <v/>
      </c>
      <c r="O46" s="7"/>
      <c r="P46" s="30" t="str">
        <f aca="false">IF(H46="","",H46+29)</f>
        <v/>
      </c>
      <c r="Q46" s="7"/>
      <c r="R46" s="30" t="str">
        <f aca="false">IF(H46="","",IF(Q46="Done","Mastered",IF(M46&lt;&gt;"Done",L46,IF(O46&lt;&gt;"Done",N46,P46))))</f>
        <v/>
      </c>
      <c r="S46" s="25" t="str">
        <f aca="true">IF(H46="","Not started",IF(Q46="Done","Mastered",IF(OR(M46="Redo",O46="Redo",Q46="Redo"),"Redo",IF(R46&lt;=TODAY(),"Re-solve due","In progress"))))</f>
        <v>Not started</v>
      </c>
    </row>
    <row r="47" customFormat="false" ht="15" hidden="false" customHeight="false" outlineLevel="0" collapsed="false">
      <c r="A47" s="25" t="n">
        <v>4</v>
      </c>
      <c r="B47" s="26" t="s">
        <v>68</v>
      </c>
      <c r="C47" s="25" t="n">
        <v>138</v>
      </c>
      <c r="D47" s="27" t="s">
        <v>142</v>
      </c>
      <c r="E47" s="25" t="s">
        <v>63</v>
      </c>
      <c r="F47" s="28"/>
      <c r="G47" s="29" t="s">
        <v>92</v>
      </c>
      <c r="H47" s="22"/>
      <c r="I47" s="23"/>
      <c r="J47" s="23"/>
      <c r="K47" s="23"/>
      <c r="L47" s="30" t="str">
        <f aca="false">IF(H47="","",H47+2)</f>
        <v/>
      </c>
      <c r="M47" s="7"/>
      <c r="N47" s="30" t="str">
        <f aca="false">IF(H47="","",H47+6)</f>
        <v/>
      </c>
      <c r="O47" s="7"/>
      <c r="P47" s="30" t="str">
        <f aca="false">IF(H47="","",H47+29)</f>
        <v/>
      </c>
      <c r="Q47" s="7"/>
      <c r="R47" s="30" t="str">
        <f aca="false">IF(H47="","",IF(Q47="Done","Mastered",IF(M47&lt;&gt;"Done",L47,IF(O47&lt;&gt;"Done",N47,P47))))</f>
        <v/>
      </c>
      <c r="S47" s="25" t="str">
        <f aca="true">IF(H47="","Not started",IF(Q47="Done","Mastered",IF(OR(M47="Redo",O47="Redo",Q47="Redo"),"Redo",IF(R47&lt;=TODAY(),"Re-solve due","In progress"))))</f>
        <v>Not started</v>
      </c>
    </row>
    <row r="48" customFormat="false" ht="15" hidden="false" customHeight="false" outlineLevel="0" collapsed="false">
      <c r="A48" s="25" t="n">
        <v>4</v>
      </c>
      <c r="B48" s="26" t="s">
        <v>68</v>
      </c>
      <c r="C48" s="25" t="n">
        <v>2</v>
      </c>
      <c r="D48" s="27" t="s">
        <v>143</v>
      </c>
      <c r="E48" s="25" t="s">
        <v>63</v>
      </c>
      <c r="F48" s="28"/>
      <c r="G48" s="29" t="s">
        <v>92</v>
      </c>
      <c r="H48" s="22"/>
      <c r="I48" s="23"/>
      <c r="J48" s="23"/>
      <c r="K48" s="23"/>
      <c r="L48" s="30" t="str">
        <f aca="false">IF(H48="","",H48+2)</f>
        <v/>
      </c>
      <c r="M48" s="7"/>
      <c r="N48" s="30" t="str">
        <f aca="false">IF(H48="","",H48+6)</f>
        <v/>
      </c>
      <c r="O48" s="7"/>
      <c r="P48" s="30" t="str">
        <f aca="false">IF(H48="","",H48+29)</f>
        <v/>
      </c>
      <c r="Q48" s="7"/>
      <c r="R48" s="30" t="str">
        <f aca="false">IF(H48="","",IF(Q48="Done","Mastered",IF(M48&lt;&gt;"Done",L48,IF(O48&lt;&gt;"Done",N48,P48))))</f>
        <v/>
      </c>
      <c r="S48" s="25" t="str">
        <f aca="true">IF(H48="","Not started",IF(Q48="Done","Mastered",IF(OR(M48="Redo",O48="Redo",Q48="Redo"),"Redo",IF(R48&lt;=TODAY(),"Re-solve due","In progress"))))</f>
        <v>Not started</v>
      </c>
    </row>
    <row r="49" customFormat="false" ht="15" hidden="false" customHeight="false" outlineLevel="0" collapsed="false">
      <c r="A49" s="25" t="n">
        <v>4</v>
      </c>
      <c r="B49" s="26" t="s">
        <v>68</v>
      </c>
      <c r="C49" s="25" t="n">
        <v>287</v>
      </c>
      <c r="D49" s="27" t="s">
        <v>144</v>
      </c>
      <c r="E49" s="25" t="s">
        <v>63</v>
      </c>
      <c r="F49" s="28"/>
      <c r="G49" s="29" t="s">
        <v>92</v>
      </c>
      <c r="H49" s="22"/>
      <c r="I49" s="23"/>
      <c r="J49" s="23"/>
      <c r="K49" s="23"/>
      <c r="L49" s="30" t="str">
        <f aca="false">IF(H49="","",H49+2)</f>
        <v/>
      </c>
      <c r="M49" s="7"/>
      <c r="N49" s="30" t="str">
        <f aca="false">IF(H49="","",H49+6)</f>
        <v/>
      </c>
      <c r="O49" s="7"/>
      <c r="P49" s="30" t="str">
        <f aca="false">IF(H49="","",H49+29)</f>
        <v/>
      </c>
      <c r="Q49" s="7"/>
      <c r="R49" s="30" t="str">
        <f aca="false">IF(H49="","",IF(Q49="Done","Mastered",IF(M49&lt;&gt;"Done",L49,IF(O49&lt;&gt;"Done",N49,P49))))</f>
        <v/>
      </c>
      <c r="S49" s="25" t="str">
        <f aca="true">IF(H49="","Not started",IF(Q49="Done","Mastered",IF(OR(M49="Redo",O49="Redo",Q49="Redo"),"Redo",IF(R49&lt;=TODAY(),"Re-solve due","In progress"))))</f>
        <v>Not started</v>
      </c>
    </row>
    <row r="50" customFormat="false" ht="15" hidden="false" customHeight="false" outlineLevel="0" collapsed="false">
      <c r="A50" s="25" t="n">
        <v>4</v>
      </c>
      <c r="B50" s="26" t="s">
        <v>68</v>
      </c>
      <c r="C50" s="25" t="n">
        <v>146</v>
      </c>
      <c r="D50" s="27" t="s">
        <v>145</v>
      </c>
      <c r="E50" s="25" t="s">
        <v>63</v>
      </c>
      <c r="F50" s="28"/>
      <c r="G50" s="29" t="s">
        <v>92</v>
      </c>
      <c r="H50" s="22"/>
      <c r="I50" s="23"/>
      <c r="J50" s="23"/>
      <c r="K50" s="23"/>
      <c r="L50" s="30" t="str">
        <f aca="false">IF(H50="","",H50+2)</f>
        <v/>
      </c>
      <c r="M50" s="7"/>
      <c r="N50" s="30" t="str">
        <f aca="false">IF(H50="","",H50+6)</f>
        <v/>
      </c>
      <c r="O50" s="7"/>
      <c r="P50" s="30" t="str">
        <f aca="false">IF(H50="","",H50+29)</f>
        <v/>
      </c>
      <c r="Q50" s="7"/>
      <c r="R50" s="30" t="str">
        <f aca="false">IF(H50="","",IF(Q50="Done","Mastered",IF(M50&lt;&gt;"Done",L50,IF(O50&lt;&gt;"Done",N50,P50))))</f>
        <v/>
      </c>
      <c r="S50" s="25" t="str">
        <f aca="true">IF(H50="","Not started",IF(Q50="Done","Mastered",IF(OR(M50="Redo",O50="Redo",Q50="Redo"),"Redo",IF(R50&lt;=TODAY(),"Re-solve due","In progress"))))</f>
        <v>Not started</v>
      </c>
    </row>
    <row r="51" customFormat="false" ht="15" hidden="false" customHeight="false" outlineLevel="0" collapsed="false">
      <c r="A51" s="25" t="n">
        <v>4</v>
      </c>
      <c r="B51" s="26" t="s">
        <v>68</v>
      </c>
      <c r="C51" s="25" t="n">
        <v>23</v>
      </c>
      <c r="D51" s="27" t="s">
        <v>146</v>
      </c>
      <c r="E51" s="25" t="s">
        <v>64</v>
      </c>
      <c r="F51" s="28"/>
      <c r="G51" s="29" t="s">
        <v>92</v>
      </c>
      <c r="H51" s="22"/>
      <c r="I51" s="23"/>
      <c r="J51" s="23"/>
      <c r="K51" s="23"/>
      <c r="L51" s="30" t="str">
        <f aca="false">IF(H51="","",H51+2)</f>
        <v/>
      </c>
      <c r="M51" s="7"/>
      <c r="N51" s="30" t="str">
        <f aca="false">IF(H51="","",H51+6)</f>
        <v/>
      </c>
      <c r="O51" s="7"/>
      <c r="P51" s="30" t="str">
        <f aca="false">IF(H51="","",H51+29)</f>
        <v/>
      </c>
      <c r="Q51" s="7"/>
      <c r="R51" s="30" t="str">
        <f aca="false">IF(H51="","",IF(Q51="Done","Mastered",IF(M51&lt;&gt;"Done",L51,IF(O51&lt;&gt;"Done",N51,P51))))</f>
        <v/>
      </c>
      <c r="S51" s="25" t="str">
        <f aca="true">IF(H51="","Not started",IF(Q51="Done","Mastered",IF(OR(M51="Redo",O51="Redo",Q51="Redo"),"Redo",IF(R51&lt;=TODAY(),"Re-solve due","In progress"))))</f>
        <v>Not started</v>
      </c>
    </row>
    <row r="52" customFormat="false" ht="15" hidden="false" customHeight="false" outlineLevel="0" collapsed="false">
      <c r="A52" s="25" t="n">
        <v>4</v>
      </c>
      <c r="B52" s="26" t="s">
        <v>68</v>
      </c>
      <c r="C52" s="25" t="n">
        <v>25</v>
      </c>
      <c r="D52" s="27" t="s">
        <v>147</v>
      </c>
      <c r="E52" s="25" t="s">
        <v>64</v>
      </c>
      <c r="F52" s="28"/>
      <c r="G52" s="29" t="s">
        <v>92</v>
      </c>
      <c r="H52" s="22"/>
      <c r="I52" s="23"/>
      <c r="J52" s="23"/>
      <c r="K52" s="23"/>
      <c r="L52" s="30" t="str">
        <f aca="false">IF(H52="","",H52+2)</f>
        <v/>
      </c>
      <c r="M52" s="7"/>
      <c r="N52" s="30" t="str">
        <f aca="false">IF(H52="","",H52+6)</f>
        <v/>
      </c>
      <c r="O52" s="7"/>
      <c r="P52" s="30" t="str">
        <f aca="false">IF(H52="","",H52+29)</f>
        <v/>
      </c>
      <c r="Q52" s="7"/>
      <c r="R52" s="30" t="str">
        <f aca="false">IF(H52="","",IF(Q52="Done","Mastered",IF(M52&lt;&gt;"Done",L52,IF(O52&lt;&gt;"Done",N52,P52))))</f>
        <v/>
      </c>
      <c r="S52" s="25" t="str">
        <f aca="true">IF(H52="","Not started",IF(Q52="Done","Mastered",IF(OR(M52="Redo",O52="Redo",Q52="Redo"),"Redo",IF(R52&lt;=TODAY(),"Re-solve due","In progress"))))</f>
        <v>Not started</v>
      </c>
    </row>
    <row r="53" customFormat="false" ht="15" hidden="false" customHeight="false" outlineLevel="0" collapsed="false">
      <c r="A53" s="17" t="n">
        <v>5</v>
      </c>
      <c r="B53" s="18" t="s">
        <v>69</v>
      </c>
      <c r="C53" s="17" t="n">
        <v>226</v>
      </c>
      <c r="D53" s="19" t="s">
        <v>148</v>
      </c>
      <c r="E53" s="17" t="s">
        <v>62</v>
      </c>
      <c r="F53" s="20"/>
      <c r="G53" s="21" t="s">
        <v>92</v>
      </c>
      <c r="H53" s="22"/>
      <c r="I53" s="23"/>
      <c r="J53" s="23"/>
      <c r="K53" s="23"/>
      <c r="L53" s="24" t="str">
        <f aca="false">IF(H53="","",H53+2)</f>
        <v/>
      </c>
      <c r="M53" s="7"/>
      <c r="N53" s="24" t="str">
        <f aca="false">IF(H53="","",H53+6)</f>
        <v/>
      </c>
      <c r="O53" s="7"/>
      <c r="P53" s="24" t="str">
        <f aca="false">IF(H53="","",H53+29)</f>
        <v/>
      </c>
      <c r="Q53" s="7"/>
      <c r="R53" s="24" t="str">
        <f aca="false">IF(H53="","",IF(Q53="Done","Mastered",IF(M53&lt;&gt;"Done",L53,IF(O53&lt;&gt;"Done",N53,P53))))</f>
        <v/>
      </c>
      <c r="S53" s="17" t="str">
        <f aca="true">IF(H53="","Not started",IF(Q53="Done","Mastered",IF(OR(M53="Redo",O53="Redo",Q53="Redo"),"Redo",IF(R53&lt;=TODAY(),"Re-solve due","In progress"))))</f>
        <v>Not started</v>
      </c>
    </row>
    <row r="54" customFormat="false" ht="15" hidden="false" customHeight="false" outlineLevel="0" collapsed="false">
      <c r="A54" s="17" t="n">
        <v>5</v>
      </c>
      <c r="B54" s="18" t="s">
        <v>69</v>
      </c>
      <c r="C54" s="17" t="n">
        <v>104</v>
      </c>
      <c r="D54" s="19" t="s">
        <v>149</v>
      </c>
      <c r="E54" s="17" t="s">
        <v>62</v>
      </c>
      <c r="F54" s="20"/>
      <c r="G54" s="21" t="s">
        <v>92</v>
      </c>
      <c r="H54" s="22"/>
      <c r="I54" s="23"/>
      <c r="J54" s="23"/>
      <c r="K54" s="23"/>
      <c r="L54" s="24" t="str">
        <f aca="false">IF(H54="","",H54+2)</f>
        <v/>
      </c>
      <c r="M54" s="7"/>
      <c r="N54" s="24" t="str">
        <f aca="false">IF(H54="","",H54+6)</f>
        <v/>
      </c>
      <c r="O54" s="7"/>
      <c r="P54" s="24" t="str">
        <f aca="false">IF(H54="","",H54+29)</f>
        <v/>
      </c>
      <c r="Q54" s="7"/>
      <c r="R54" s="24" t="str">
        <f aca="false">IF(H54="","",IF(Q54="Done","Mastered",IF(M54&lt;&gt;"Done",L54,IF(O54&lt;&gt;"Done",N54,P54))))</f>
        <v/>
      </c>
      <c r="S54" s="17" t="str">
        <f aca="true">IF(H54="","Not started",IF(Q54="Done","Mastered",IF(OR(M54="Redo",O54="Redo",Q54="Redo"),"Redo",IF(R54&lt;=TODAY(),"Re-solve due","In progress"))))</f>
        <v>Not started</v>
      </c>
    </row>
    <row r="55" customFormat="false" ht="15" hidden="false" customHeight="false" outlineLevel="0" collapsed="false">
      <c r="A55" s="17" t="n">
        <v>5</v>
      </c>
      <c r="B55" s="18" t="s">
        <v>69</v>
      </c>
      <c r="C55" s="17" t="n">
        <v>543</v>
      </c>
      <c r="D55" s="19" t="s">
        <v>150</v>
      </c>
      <c r="E55" s="17" t="s">
        <v>62</v>
      </c>
      <c r="F55" s="20"/>
      <c r="G55" s="21" t="s">
        <v>92</v>
      </c>
      <c r="H55" s="22"/>
      <c r="I55" s="23"/>
      <c r="J55" s="23"/>
      <c r="K55" s="23"/>
      <c r="L55" s="24" t="str">
        <f aca="false">IF(H55="","",H55+2)</f>
        <v/>
      </c>
      <c r="M55" s="7"/>
      <c r="N55" s="24" t="str">
        <f aca="false">IF(H55="","",H55+6)</f>
        <v/>
      </c>
      <c r="O55" s="7"/>
      <c r="P55" s="24" t="str">
        <f aca="false">IF(H55="","",H55+29)</f>
        <v/>
      </c>
      <c r="Q55" s="7"/>
      <c r="R55" s="24" t="str">
        <f aca="false">IF(H55="","",IF(Q55="Done","Mastered",IF(M55&lt;&gt;"Done",L55,IF(O55&lt;&gt;"Done",N55,P55))))</f>
        <v/>
      </c>
      <c r="S55" s="17" t="str">
        <f aca="true">IF(H55="","Not started",IF(Q55="Done","Mastered",IF(OR(M55="Redo",O55="Redo",Q55="Redo"),"Redo",IF(R55&lt;=TODAY(),"Re-solve due","In progress"))))</f>
        <v>Not started</v>
      </c>
    </row>
    <row r="56" customFormat="false" ht="15" hidden="false" customHeight="false" outlineLevel="0" collapsed="false">
      <c r="A56" s="17" t="n">
        <v>5</v>
      </c>
      <c r="B56" s="18" t="s">
        <v>69</v>
      </c>
      <c r="C56" s="17" t="n">
        <v>110</v>
      </c>
      <c r="D56" s="19" t="s">
        <v>151</v>
      </c>
      <c r="E56" s="17" t="s">
        <v>62</v>
      </c>
      <c r="F56" s="20"/>
      <c r="G56" s="21" t="s">
        <v>92</v>
      </c>
      <c r="H56" s="22"/>
      <c r="I56" s="23"/>
      <c r="J56" s="23"/>
      <c r="K56" s="23"/>
      <c r="L56" s="24" t="str">
        <f aca="false">IF(H56="","",H56+2)</f>
        <v/>
      </c>
      <c r="M56" s="7"/>
      <c r="N56" s="24" t="str">
        <f aca="false">IF(H56="","",H56+6)</f>
        <v/>
      </c>
      <c r="O56" s="7"/>
      <c r="P56" s="24" t="str">
        <f aca="false">IF(H56="","",H56+29)</f>
        <v/>
      </c>
      <c r="Q56" s="7"/>
      <c r="R56" s="24" t="str">
        <f aca="false">IF(H56="","",IF(Q56="Done","Mastered",IF(M56&lt;&gt;"Done",L56,IF(O56&lt;&gt;"Done",N56,P56))))</f>
        <v/>
      </c>
      <c r="S56" s="17" t="str">
        <f aca="true">IF(H56="","Not started",IF(Q56="Done","Mastered",IF(OR(M56="Redo",O56="Redo",Q56="Redo"),"Redo",IF(R56&lt;=TODAY(),"Re-solve due","In progress"))))</f>
        <v>Not started</v>
      </c>
    </row>
    <row r="57" customFormat="false" ht="15" hidden="false" customHeight="false" outlineLevel="0" collapsed="false">
      <c r="A57" s="17" t="n">
        <v>5</v>
      </c>
      <c r="B57" s="18" t="s">
        <v>69</v>
      </c>
      <c r="C57" s="17" t="n">
        <v>100</v>
      </c>
      <c r="D57" s="19" t="s">
        <v>152</v>
      </c>
      <c r="E57" s="17" t="s">
        <v>62</v>
      </c>
      <c r="F57" s="20"/>
      <c r="G57" s="21" t="s">
        <v>92</v>
      </c>
      <c r="H57" s="22"/>
      <c r="I57" s="23"/>
      <c r="J57" s="23"/>
      <c r="K57" s="23"/>
      <c r="L57" s="24" t="str">
        <f aca="false">IF(H57="","",H57+2)</f>
        <v/>
      </c>
      <c r="M57" s="7"/>
      <c r="N57" s="24" t="str">
        <f aca="false">IF(H57="","",H57+6)</f>
        <v/>
      </c>
      <c r="O57" s="7"/>
      <c r="P57" s="24" t="str">
        <f aca="false">IF(H57="","",H57+29)</f>
        <v/>
      </c>
      <c r="Q57" s="7"/>
      <c r="R57" s="24" t="str">
        <f aca="false">IF(H57="","",IF(Q57="Done","Mastered",IF(M57&lt;&gt;"Done",L57,IF(O57&lt;&gt;"Done",N57,P57))))</f>
        <v/>
      </c>
      <c r="S57" s="17" t="str">
        <f aca="true">IF(H57="","Not started",IF(Q57="Done","Mastered",IF(OR(M57="Redo",O57="Redo",Q57="Redo"),"Redo",IF(R57&lt;=TODAY(),"Re-solve due","In progress"))))</f>
        <v>Not started</v>
      </c>
    </row>
    <row r="58" customFormat="false" ht="15" hidden="false" customHeight="false" outlineLevel="0" collapsed="false">
      <c r="A58" s="17" t="n">
        <v>5</v>
      </c>
      <c r="B58" s="18" t="s">
        <v>69</v>
      </c>
      <c r="C58" s="17" t="n">
        <v>572</v>
      </c>
      <c r="D58" s="19" t="s">
        <v>153</v>
      </c>
      <c r="E58" s="17" t="s">
        <v>62</v>
      </c>
      <c r="F58" s="20"/>
      <c r="G58" s="21" t="s">
        <v>92</v>
      </c>
      <c r="H58" s="22"/>
      <c r="I58" s="23"/>
      <c r="J58" s="23"/>
      <c r="K58" s="23"/>
      <c r="L58" s="24" t="str">
        <f aca="false">IF(H58="","",H58+2)</f>
        <v/>
      </c>
      <c r="M58" s="7"/>
      <c r="N58" s="24" t="str">
        <f aca="false">IF(H58="","",H58+6)</f>
        <v/>
      </c>
      <c r="O58" s="7"/>
      <c r="P58" s="24" t="str">
        <f aca="false">IF(H58="","",H58+29)</f>
        <v/>
      </c>
      <c r="Q58" s="7"/>
      <c r="R58" s="24" t="str">
        <f aca="false">IF(H58="","",IF(Q58="Done","Mastered",IF(M58&lt;&gt;"Done",L58,IF(O58&lt;&gt;"Done",N58,P58))))</f>
        <v/>
      </c>
      <c r="S58" s="17" t="str">
        <f aca="true">IF(H58="","Not started",IF(Q58="Done","Mastered",IF(OR(M58="Redo",O58="Redo",Q58="Redo"),"Redo",IF(R58&lt;=TODAY(),"Re-solve due","In progress"))))</f>
        <v>Not started</v>
      </c>
    </row>
    <row r="59" customFormat="false" ht="15" hidden="false" customHeight="false" outlineLevel="0" collapsed="false">
      <c r="A59" s="17" t="n">
        <v>5</v>
      </c>
      <c r="B59" s="18" t="s">
        <v>69</v>
      </c>
      <c r="C59" s="17" t="n">
        <v>235</v>
      </c>
      <c r="D59" s="19" t="s">
        <v>154</v>
      </c>
      <c r="E59" s="17" t="s">
        <v>63</v>
      </c>
      <c r="F59" s="20"/>
      <c r="G59" s="21" t="s">
        <v>92</v>
      </c>
      <c r="H59" s="22"/>
      <c r="I59" s="23"/>
      <c r="J59" s="23"/>
      <c r="K59" s="23"/>
      <c r="L59" s="24" t="str">
        <f aca="false">IF(H59="","",H59+2)</f>
        <v/>
      </c>
      <c r="M59" s="7"/>
      <c r="N59" s="24" t="str">
        <f aca="false">IF(H59="","",H59+6)</f>
        <v/>
      </c>
      <c r="O59" s="7"/>
      <c r="P59" s="24" t="str">
        <f aca="false">IF(H59="","",H59+29)</f>
        <v/>
      </c>
      <c r="Q59" s="7"/>
      <c r="R59" s="24" t="str">
        <f aca="false">IF(H59="","",IF(Q59="Done","Mastered",IF(M59&lt;&gt;"Done",L59,IF(O59&lt;&gt;"Done",N59,P59))))</f>
        <v/>
      </c>
      <c r="S59" s="17" t="str">
        <f aca="true">IF(H59="","Not started",IF(Q59="Done","Mastered",IF(OR(M59="Redo",O59="Redo",Q59="Redo"),"Redo",IF(R59&lt;=TODAY(),"Re-solve due","In progress"))))</f>
        <v>Not started</v>
      </c>
    </row>
    <row r="60" customFormat="false" ht="15" hidden="false" customHeight="false" outlineLevel="0" collapsed="false">
      <c r="A60" s="17" t="n">
        <v>5</v>
      </c>
      <c r="B60" s="18" t="s">
        <v>69</v>
      </c>
      <c r="C60" s="17" t="n">
        <v>102</v>
      </c>
      <c r="D60" s="19" t="s">
        <v>155</v>
      </c>
      <c r="E60" s="17" t="s">
        <v>63</v>
      </c>
      <c r="F60" s="20"/>
      <c r="G60" s="21" t="s">
        <v>92</v>
      </c>
      <c r="H60" s="22"/>
      <c r="I60" s="23"/>
      <c r="J60" s="23"/>
      <c r="K60" s="23"/>
      <c r="L60" s="24" t="str">
        <f aca="false">IF(H60="","",H60+2)</f>
        <v/>
      </c>
      <c r="M60" s="7"/>
      <c r="N60" s="24" t="str">
        <f aca="false">IF(H60="","",H60+6)</f>
        <v/>
      </c>
      <c r="O60" s="7"/>
      <c r="P60" s="24" t="str">
        <f aca="false">IF(H60="","",H60+29)</f>
        <v/>
      </c>
      <c r="Q60" s="7"/>
      <c r="R60" s="24" t="str">
        <f aca="false">IF(H60="","",IF(Q60="Done","Mastered",IF(M60&lt;&gt;"Done",L60,IF(O60&lt;&gt;"Done",N60,P60))))</f>
        <v/>
      </c>
      <c r="S60" s="17" t="str">
        <f aca="true">IF(H60="","Not started",IF(Q60="Done","Mastered",IF(OR(M60="Redo",O60="Redo",Q60="Redo"),"Redo",IF(R60&lt;=TODAY(),"Re-solve due","In progress"))))</f>
        <v>Not started</v>
      </c>
    </row>
    <row r="61" customFormat="false" ht="15" hidden="false" customHeight="false" outlineLevel="0" collapsed="false">
      <c r="A61" s="17" t="n">
        <v>5</v>
      </c>
      <c r="B61" s="18" t="s">
        <v>69</v>
      </c>
      <c r="C61" s="17" t="n">
        <v>199</v>
      </c>
      <c r="D61" s="19" t="s">
        <v>156</v>
      </c>
      <c r="E61" s="17" t="s">
        <v>63</v>
      </c>
      <c r="F61" s="20"/>
      <c r="G61" s="21" t="s">
        <v>92</v>
      </c>
      <c r="H61" s="22"/>
      <c r="I61" s="23"/>
      <c r="J61" s="23"/>
      <c r="K61" s="23"/>
      <c r="L61" s="24" t="str">
        <f aca="false">IF(H61="","",H61+2)</f>
        <v/>
      </c>
      <c r="M61" s="7"/>
      <c r="N61" s="24" t="str">
        <f aca="false">IF(H61="","",H61+6)</f>
        <v/>
      </c>
      <c r="O61" s="7"/>
      <c r="P61" s="24" t="str">
        <f aca="false">IF(H61="","",H61+29)</f>
        <v/>
      </c>
      <c r="Q61" s="7"/>
      <c r="R61" s="24" t="str">
        <f aca="false">IF(H61="","",IF(Q61="Done","Mastered",IF(M61&lt;&gt;"Done",L61,IF(O61&lt;&gt;"Done",N61,P61))))</f>
        <v/>
      </c>
      <c r="S61" s="17" t="str">
        <f aca="true">IF(H61="","Not started",IF(Q61="Done","Mastered",IF(OR(M61="Redo",O61="Redo",Q61="Redo"),"Redo",IF(R61&lt;=TODAY(),"Re-solve due","In progress"))))</f>
        <v>Not started</v>
      </c>
    </row>
    <row r="62" customFormat="false" ht="15" hidden="false" customHeight="false" outlineLevel="0" collapsed="false">
      <c r="A62" s="17" t="n">
        <v>5</v>
      </c>
      <c r="B62" s="18" t="s">
        <v>69</v>
      </c>
      <c r="C62" s="17" t="n">
        <v>1448</v>
      </c>
      <c r="D62" s="19" t="s">
        <v>157</v>
      </c>
      <c r="E62" s="17" t="s">
        <v>63</v>
      </c>
      <c r="F62" s="20"/>
      <c r="G62" s="21" t="s">
        <v>92</v>
      </c>
      <c r="H62" s="22"/>
      <c r="I62" s="23"/>
      <c r="J62" s="23"/>
      <c r="K62" s="23"/>
      <c r="L62" s="24" t="str">
        <f aca="false">IF(H62="","",H62+2)</f>
        <v/>
      </c>
      <c r="M62" s="7"/>
      <c r="N62" s="24" t="str">
        <f aca="false">IF(H62="","",H62+6)</f>
        <v/>
      </c>
      <c r="O62" s="7"/>
      <c r="P62" s="24" t="str">
        <f aca="false">IF(H62="","",H62+29)</f>
        <v/>
      </c>
      <c r="Q62" s="7"/>
      <c r="R62" s="24" t="str">
        <f aca="false">IF(H62="","",IF(Q62="Done","Mastered",IF(M62&lt;&gt;"Done",L62,IF(O62&lt;&gt;"Done",N62,P62))))</f>
        <v/>
      </c>
      <c r="S62" s="17" t="str">
        <f aca="true">IF(H62="","Not started",IF(Q62="Done","Mastered",IF(OR(M62="Redo",O62="Redo",Q62="Redo"),"Redo",IF(R62&lt;=TODAY(),"Re-solve due","In progress"))))</f>
        <v>Not started</v>
      </c>
    </row>
    <row r="63" customFormat="false" ht="15" hidden="false" customHeight="false" outlineLevel="0" collapsed="false">
      <c r="A63" s="17" t="n">
        <v>5</v>
      </c>
      <c r="B63" s="18" t="s">
        <v>69</v>
      </c>
      <c r="C63" s="17" t="n">
        <v>98</v>
      </c>
      <c r="D63" s="19" t="s">
        <v>158</v>
      </c>
      <c r="E63" s="17" t="s">
        <v>63</v>
      </c>
      <c r="F63" s="20"/>
      <c r="G63" s="21" t="s">
        <v>92</v>
      </c>
      <c r="H63" s="22"/>
      <c r="I63" s="23"/>
      <c r="J63" s="23"/>
      <c r="K63" s="23"/>
      <c r="L63" s="24" t="str">
        <f aca="false">IF(H63="","",H63+2)</f>
        <v/>
      </c>
      <c r="M63" s="7"/>
      <c r="N63" s="24" t="str">
        <f aca="false">IF(H63="","",H63+6)</f>
        <v/>
      </c>
      <c r="O63" s="7"/>
      <c r="P63" s="24" t="str">
        <f aca="false">IF(H63="","",H63+29)</f>
        <v/>
      </c>
      <c r="Q63" s="7"/>
      <c r="R63" s="24" t="str">
        <f aca="false">IF(H63="","",IF(Q63="Done","Mastered",IF(M63&lt;&gt;"Done",L63,IF(O63&lt;&gt;"Done",N63,P63))))</f>
        <v/>
      </c>
      <c r="S63" s="17" t="str">
        <f aca="true">IF(H63="","Not started",IF(Q63="Done","Mastered",IF(OR(M63="Redo",O63="Redo",Q63="Redo"),"Redo",IF(R63&lt;=TODAY(),"Re-solve due","In progress"))))</f>
        <v>Not started</v>
      </c>
    </row>
    <row r="64" customFormat="false" ht="15" hidden="false" customHeight="false" outlineLevel="0" collapsed="false">
      <c r="A64" s="17" t="n">
        <v>5</v>
      </c>
      <c r="B64" s="18" t="s">
        <v>69</v>
      </c>
      <c r="C64" s="17" t="n">
        <v>230</v>
      </c>
      <c r="D64" s="19" t="s">
        <v>159</v>
      </c>
      <c r="E64" s="17" t="s">
        <v>63</v>
      </c>
      <c r="F64" s="20"/>
      <c r="G64" s="21" t="s">
        <v>92</v>
      </c>
      <c r="H64" s="22"/>
      <c r="I64" s="23"/>
      <c r="J64" s="23"/>
      <c r="K64" s="23"/>
      <c r="L64" s="24" t="str">
        <f aca="false">IF(H64="","",H64+2)</f>
        <v/>
      </c>
      <c r="M64" s="7"/>
      <c r="N64" s="24" t="str">
        <f aca="false">IF(H64="","",H64+6)</f>
        <v/>
      </c>
      <c r="O64" s="7"/>
      <c r="P64" s="24" t="str">
        <f aca="false">IF(H64="","",H64+29)</f>
        <v/>
      </c>
      <c r="Q64" s="7"/>
      <c r="R64" s="24" t="str">
        <f aca="false">IF(H64="","",IF(Q64="Done","Mastered",IF(M64&lt;&gt;"Done",L64,IF(O64&lt;&gt;"Done",N64,P64))))</f>
        <v/>
      </c>
      <c r="S64" s="17" t="str">
        <f aca="true">IF(H64="","Not started",IF(Q64="Done","Mastered",IF(OR(M64="Redo",O64="Redo",Q64="Redo"),"Redo",IF(R64&lt;=TODAY(),"Re-solve due","In progress"))))</f>
        <v>Not started</v>
      </c>
    </row>
    <row r="65" customFormat="false" ht="15" hidden="false" customHeight="false" outlineLevel="0" collapsed="false">
      <c r="A65" s="17" t="n">
        <v>5</v>
      </c>
      <c r="B65" s="18" t="s">
        <v>69</v>
      </c>
      <c r="C65" s="17" t="n">
        <v>105</v>
      </c>
      <c r="D65" s="19" t="s">
        <v>160</v>
      </c>
      <c r="E65" s="17" t="s">
        <v>63</v>
      </c>
      <c r="F65" s="20"/>
      <c r="G65" s="21" t="s">
        <v>92</v>
      </c>
      <c r="H65" s="22"/>
      <c r="I65" s="23"/>
      <c r="J65" s="23"/>
      <c r="K65" s="23"/>
      <c r="L65" s="24" t="str">
        <f aca="false">IF(H65="","",H65+2)</f>
        <v/>
      </c>
      <c r="M65" s="7"/>
      <c r="N65" s="24" t="str">
        <f aca="false">IF(H65="","",H65+6)</f>
        <v/>
      </c>
      <c r="O65" s="7"/>
      <c r="P65" s="24" t="str">
        <f aca="false">IF(H65="","",H65+29)</f>
        <v/>
      </c>
      <c r="Q65" s="7"/>
      <c r="R65" s="24" t="str">
        <f aca="false">IF(H65="","",IF(Q65="Done","Mastered",IF(M65&lt;&gt;"Done",L65,IF(O65&lt;&gt;"Done",N65,P65))))</f>
        <v/>
      </c>
      <c r="S65" s="17" t="str">
        <f aca="true">IF(H65="","Not started",IF(Q65="Done","Mastered",IF(OR(M65="Redo",O65="Redo",Q65="Redo"),"Redo",IF(R65&lt;=TODAY(),"Re-solve due","In progress"))))</f>
        <v>Not started</v>
      </c>
    </row>
    <row r="66" customFormat="false" ht="15" hidden="false" customHeight="false" outlineLevel="0" collapsed="false">
      <c r="A66" s="17" t="n">
        <v>5</v>
      </c>
      <c r="B66" s="18" t="s">
        <v>69</v>
      </c>
      <c r="C66" s="17" t="n">
        <v>124</v>
      </c>
      <c r="D66" s="19" t="s">
        <v>161</v>
      </c>
      <c r="E66" s="17" t="s">
        <v>64</v>
      </c>
      <c r="F66" s="20"/>
      <c r="G66" s="21" t="s">
        <v>92</v>
      </c>
      <c r="H66" s="22"/>
      <c r="I66" s="23"/>
      <c r="J66" s="23"/>
      <c r="K66" s="23"/>
      <c r="L66" s="24" t="str">
        <f aca="false">IF(H66="","",H66+2)</f>
        <v/>
      </c>
      <c r="M66" s="7"/>
      <c r="N66" s="24" t="str">
        <f aca="false">IF(H66="","",H66+6)</f>
        <v/>
      </c>
      <c r="O66" s="7"/>
      <c r="P66" s="24" t="str">
        <f aca="false">IF(H66="","",H66+29)</f>
        <v/>
      </c>
      <c r="Q66" s="7"/>
      <c r="R66" s="24" t="str">
        <f aca="false">IF(H66="","",IF(Q66="Done","Mastered",IF(M66&lt;&gt;"Done",L66,IF(O66&lt;&gt;"Done",N66,P66))))</f>
        <v/>
      </c>
      <c r="S66" s="17" t="str">
        <f aca="true">IF(H66="","Not started",IF(Q66="Done","Mastered",IF(OR(M66="Redo",O66="Redo",Q66="Redo"),"Redo",IF(R66&lt;=TODAY(),"Re-solve due","In progress"))))</f>
        <v>Not started</v>
      </c>
    </row>
    <row r="67" customFormat="false" ht="15" hidden="false" customHeight="false" outlineLevel="0" collapsed="false">
      <c r="A67" s="17" t="n">
        <v>5</v>
      </c>
      <c r="B67" s="18" t="s">
        <v>69</v>
      </c>
      <c r="C67" s="17" t="n">
        <v>297</v>
      </c>
      <c r="D67" s="19" t="s">
        <v>162</v>
      </c>
      <c r="E67" s="17" t="s">
        <v>64</v>
      </c>
      <c r="F67" s="20"/>
      <c r="G67" s="21" t="s">
        <v>92</v>
      </c>
      <c r="H67" s="22"/>
      <c r="I67" s="23"/>
      <c r="J67" s="23"/>
      <c r="K67" s="23"/>
      <c r="L67" s="24" t="str">
        <f aca="false">IF(H67="","",H67+2)</f>
        <v/>
      </c>
      <c r="M67" s="7"/>
      <c r="N67" s="24" t="str">
        <f aca="false">IF(H67="","",H67+6)</f>
        <v/>
      </c>
      <c r="O67" s="7"/>
      <c r="P67" s="24" t="str">
        <f aca="false">IF(H67="","",H67+29)</f>
        <v/>
      </c>
      <c r="Q67" s="7"/>
      <c r="R67" s="24" t="str">
        <f aca="false">IF(H67="","",IF(Q67="Done","Mastered",IF(M67&lt;&gt;"Done",L67,IF(O67&lt;&gt;"Done",N67,P67))))</f>
        <v/>
      </c>
      <c r="S67" s="17" t="str">
        <f aca="true">IF(H67="","Not started",IF(Q67="Done","Mastered",IF(OR(M67="Redo",O67="Redo",Q67="Redo"),"Redo",IF(R67&lt;=TODAY(),"Re-solve due","In progress"))))</f>
        <v>Not started</v>
      </c>
    </row>
    <row r="68" customFormat="false" ht="15" hidden="false" customHeight="false" outlineLevel="0" collapsed="false">
      <c r="A68" s="25" t="n">
        <v>6</v>
      </c>
      <c r="B68" s="26" t="s">
        <v>163</v>
      </c>
      <c r="C68" s="25" t="n">
        <v>703</v>
      </c>
      <c r="D68" s="27" t="s">
        <v>164</v>
      </c>
      <c r="E68" s="25" t="s">
        <v>62</v>
      </c>
      <c r="F68" s="28"/>
      <c r="G68" s="29" t="s">
        <v>92</v>
      </c>
      <c r="H68" s="22"/>
      <c r="I68" s="23"/>
      <c r="J68" s="23"/>
      <c r="K68" s="23"/>
      <c r="L68" s="30" t="str">
        <f aca="false">IF(H68="","",H68+2)</f>
        <v/>
      </c>
      <c r="M68" s="7"/>
      <c r="N68" s="30" t="str">
        <f aca="false">IF(H68="","",H68+6)</f>
        <v/>
      </c>
      <c r="O68" s="7"/>
      <c r="P68" s="30" t="str">
        <f aca="false">IF(H68="","",H68+29)</f>
        <v/>
      </c>
      <c r="Q68" s="7"/>
      <c r="R68" s="30" t="str">
        <f aca="false">IF(H68="","",IF(Q68="Done","Mastered",IF(M68&lt;&gt;"Done",L68,IF(O68&lt;&gt;"Done",N68,P68))))</f>
        <v/>
      </c>
      <c r="S68" s="25" t="str">
        <f aca="true">IF(H68="","Not started",IF(Q68="Done","Mastered",IF(OR(M68="Redo",O68="Redo",Q68="Redo"),"Redo",IF(R68&lt;=TODAY(),"Re-solve due","In progress"))))</f>
        <v>Not started</v>
      </c>
    </row>
    <row r="69" customFormat="false" ht="15" hidden="false" customHeight="false" outlineLevel="0" collapsed="false">
      <c r="A69" s="25" t="n">
        <v>6</v>
      </c>
      <c r="B69" s="26" t="s">
        <v>163</v>
      </c>
      <c r="C69" s="25" t="n">
        <v>1046</v>
      </c>
      <c r="D69" s="27" t="s">
        <v>165</v>
      </c>
      <c r="E69" s="25" t="s">
        <v>62</v>
      </c>
      <c r="F69" s="28"/>
      <c r="G69" s="29" t="s">
        <v>92</v>
      </c>
      <c r="H69" s="22"/>
      <c r="I69" s="23"/>
      <c r="J69" s="23"/>
      <c r="K69" s="23"/>
      <c r="L69" s="30" t="str">
        <f aca="false">IF(H69="","",H69+2)</f>
        <v/>
      </c>
      <c r="M69" s="7"/>
      <c r="N69" s="30" t="str">
        <f aca="false">IF(H69="","",H69+6)</f>
        <v/>
      </c>
      <c r="O69" s="7"/>
      <c r="P69" s="30" t="str">
        <f aca="false">IF(H69="","",H69+29)</f>
        <v/>
      </c>
      <c r="Q69" s="7"/>
      <c r="R69" s="30" t="str">
        <f aca="false">IF(H69="","",IF(Q69="Done","Mastered",IF(M69&lt;&gt;"Done",L69,IF(O69&lt;&gt;"Done",N69,P69))))</f>
        <v/>
      </c>
      <c r="S69" s="25" t="str">
        <f aca="true">IF(H69="","Not started",IF(Q69="Done","Mastered",IF(OR(M69="Redo",O69="Redo",Q69="Redo"),"Redo",IF(R69&lt;=TODAY(),"Re-solve due","In progress"))))</f>
        <v>Not started</v>
      </c>
    </row>
    <row r="70" customFormat="false" ht="15" hidden="false" customHeight="false" outlineLevel="0" collapsed="false">
      <c r="A70" s="25" t="n">
        <v>6</v>
      </c>
      <c r="B70" s="26" t="s">
        <v>163</v>
      </c>
      <c r="C70" s="25" t="n">
        <v>973</v>
      </c>
      <c r="D70" s="27" t="s">
        <v>166</v>
      </c>
      <c r="E70" s="25" t="s">
        <v>63</v>
      </c>
      <c r="F70" s="28"/>
      <c r="G70" s="29" t="s">
        <v>92</v>
      </c>
      <c r="H70" s="22"/>
      <c r="I70" s="23"/>
      <c r="J70" s="23"/>
      <c r="K70" s="23"/>
      <c r="L70" s="30" t="str">
        <f aca="false">IF(H70="","",H70+2)</f>
        <v/>
      </c>
      <c r="M70" s="7"/>
      <c r="N70" s="30" t="str">
        <f aca="false">IF(H70="","",H70+6)</f>
        <v/>
      </c>
      <c r="O70" s="7"/>
      <c r="P70" s="30" t="str">
        <f aca="false">IF(H70="","",H70+29)</f>
        <v/>
      </c>
      <c r="Q70" s="7"/>
      <c r="R70" s="30" t="str">
        <f aca="false">IF(H70="","",IF(Q70="Done","Mastered",IF(M70&lt;&gt;"Done",L70,IF(O70&lt;&gt;"Done",N70,P70))))</f>
        <v/>
      </c>
      <c r="S70" s="25" t="str">
        <f aca="true">IF(H70="","Not started",IF(Q70="Done","Mastered",IF(OR(M70="Redo",O70="Redo",Q70="Redo"),"Redo",IF(R70&lt;=TODAY(),"Re-solve due","In progress"))))</f>
        <v>Not started</v>
      </c>
    </row>
    <row r="71" customFormat="false" ht="15" hidden="false" customHeight="false" outlineLevel="0" collapsed="false">
      <c r="A71" s="25" t="n">
        <v>6</v>
      </c>
      <c r="B71" s="26" t="s">
        <v>163</v>
      </c>
      <c r="C71" s="25" t="n">
        <v>215</v>
      </c>
      <c r="D71" s="27" t="s">
        <v>167</v>
      </c>
      <c r="E71" s="25" t="s">
        <v>63</v>
      </c>
      <c r="F71" s="28"/>
      <c r="G71" s="29" t="s">
        <v>92</v>
      </c>
      <c r="H71" s="22"/>
      <c r="I71" s="23"/>
      <c r="J71" s="23"/>
      <c r="K71" s="23"/>
      <c r="L71" s="30" t="str">
        <f aca="false">IF(H71="","",H71+2)</f>
        <v/>
      </c>
      <c r="M71" s="7"/>
      <c r="N71" s="30" t="str">
        <f aca="false">IF(H71="","",H71+6)</f>
        <v/>
      </c>
      <c r="O71" s="7"/>
      <c r="P71" s="30" t="str">
        <f aca="false">IF(H71="","",H71+29)</f>
        <v/>
      </c>
      <c r="Q71" s="7"/>
      <c r="R71" s="30" t="str">
        <f aca="false">IF(H71="","",IF(Q71="Done","Mastered",IF(M71&lt;&gt;"Done",L71,IF(O71&lt;&gt;"Done",N71,P71))))</f>
        <v/>
      </c>
      <c r="S71" s="25" t="str">
        <f aca="true">IF(H71="","Not started",IF(Q71="Done","Mastered",IF(OR(M71="Redo",O71="Redo",Q71="Redo"),"Redo",IF(R71&lt;=TODAY(),"Re-solve due","In progress"))))</f>
        <v>Not started</v>
      </c>
    </row>
    <row r="72" customFormat="false" ht="15" hidden="false" customHeight="false" outlineLevel="0" collapsed="false">
      <c r="A72" s="25" t="n">
        <v>6</v>
      </c>
      <c r="B72" s="26" t="s">
        <v>163</v>
      </c>
      <c r="C72" s="25" t="n">
        <v>621</v>
      </c>
      <c r="D72" s="27" t="s">
        <v>168</v>
      </c>
      <c r="E72" s="25" t="s">
        <v>63</v>
      </c>
      <c r="F72" s="28"/>
      <c r="G72" s="29" t="s">
        <v>92</v>
      </c>
      <c r="H72" s="22"/>
      <c r="I72" s="23"/>
      <c r="J72" s="23"/>
      <c r="K72" s="23"/>
      <c r="L72" s="30" t="str">
        <f aca="false">IF(H72="","",H72+2)</f>
        <v/>
      </c>
      <c r="M72" s="7"/>
      <c r="N72" s="30" t="str">
        <f aca="false">IF(H72="","",H72+6)</f>
        <v/>
      </c>
      <c r="O72" s="7"/>
      <c r="P72" s="30" t="str">
        <f aca="false">IF(H72="","",H72+29)</f>
        <v/>
      </c>
      <c r="Q72" s="7"/>
      <c r="R72" s="30" t="str">
        <f aca="false">IF(H72="","",IF(Q72="Done","Mastered",IF(M72&lt;&gt;"Done",L72,IF(O72&lt;&gt;"Done",N72,P72))))</f>
        <v/>
      </c>
      <c r="S72" s="25" t="str">
        <f aca="true">IF(H72="","Not started",IF(Q72="Done","Mastered",IF(OR(M72="Redo",O72="Redo",Q72="Redo"),"Redo",IF(R72&lt;=TODAY(),"Re-solve due","In progress"))))</f>
        <v>Not started</v>
      </c>
    </row>
    <row r="73" customFormat="false" ht="15" hidden="false" customHeight="false" outlineLevel="0" collapsed="false">
      <c r="A73" s="25" t="n">
        <v>6</v>
      </c>
      <c r="B73" s="26" t="s">
        <v>163</v>
      </c>
      <c r="C73" s="25" t="n">
        <v>355</v>
      </c>
      <c r="D73" s="27" t="s">
        <v>169</v>
      </c>
      <c r="E73" s="25" t="s">
        <v>63</v>
      </c>
      <c r="F73" s="28"/>
      <c r="G73" s="29" t="s">
        <v>92</v>
      </c>
      <c r="H73" s="22"/>
      <c r="I73" s="23"/>
      <c r="J73" s="23"/>
      <c r="K73" s="23"/>
      <c r="L73" s="30" t="str">
        <f aca="false">IF(H73="","",H73+2)</f>
        <v/>
      </c>
      <c r="M73" s="7"/>
      <c r="N73" s="30" t="str">
        <f aca="false">IF(H73="","",H73+6)</f>
        <v/>
      </c>
      <c r="O73" s="7"/>
      <c r="P73" s="30" t="str">
        <f aca="false">IF(H73="","",H73+29)</f>
        <v/>
      </c>
      <c r="Q73" s="7"/>
      <c r="R73" s="30" t="str">
        <f aca="false">IF(H73="","",IF(Q73="Done","Mastered",IF(M73&lt;&gt;"Done",L73,IF(O73&lt;&gt;"Done",N73,P73))))</f>
        <v/>
      </c>
      <c r="S73" s="25" t="str">
        <f aca="true">IF(H73="","Not started",IF(Q73="Done","Mastered",IF(OR(M73="Redo",O73="Redo",Q73="Redo"),"Redo",IF(R73&lt;=TODAY(),"Re-solve due","In progress"))))</f>
        <v>Not started</v>
      </c>
    </row>
    <row r="74" customFormat="false" ht="15" hidden="false" customHeight="false" outlineLevel="0" collapsed="false">
      <c r="A74" s="25" t="n">
        <v>6</v>
      </c>
      <c r="B74" s="26" t="s">
        <v>163</v>
      </c>
      <c r="C74" s="25" t="n">
        <v>295</v>
      </c>
      <c r="D74" s="27" t="s">
        <v>170</v>
      </c>
      <c r="E74" s="25" t="s">
        <v>64</v>
      </c>
      <c r="F74" s="28"/>
      <c r="G74" s="29" t="s">
        <v>92</v>
      </c>
      <c r="H74" s="22"/>
      <c r="I74" s="23"/>
      <c r="J74" s="23"/>
      <c r="K74" s="23"/>
      <c r="L74" s="30" t="str">
        <f aca="false">IF(H74="","",H74+2)</f>
        <v/>
      </c>
      <c r="M74" s="7"/>
      <c r="N74" s="30" t="str">
        <f aca="false">IF(H74="","",H74+6)</f>
        <v/>
      </c>
      <c r="O74" s="7"/>
      <c r="P74" s="30" t="str">
        <f aca="false">IF(H74="","",H74+29)</f>
        <v/>
      </c>
      <c r="Q74" s="7"/>
      <c r="R74" s="30" t="str">
        <f aca="false">IF(H74="","",IF(Q74="Done","Mastered",IF(M74&lt;&gt;"Done",L74,IF(O74&lt;&gt;"Done",N74,P74))))</f>
        <v/>
      </c>
      <c r="S74" s="25" t="str">
        <f aca="true">IF(H74="","Not started",IF(Q74="Done","Mastered",IF(OR(M74="Redo",O74="Redo",Q74="Redo"),"Redo",IF(R74&lt;=TODAY(),"Re-solve due","In progress"))))</f>
        <v>Not started</v>
      </c>
    </row>
    <row r="75" customFormat="false" ht="15" hidden="false" customHeight="false" outlineLevel="0" collapsed="false">
      <c r="A75" s="25" t="n">
        <v>6</v>
      </c>
      <c r="B75" s="26" t="s">
        <v>171</v>
      </c>
      <c r="C75" s="25" t="n">
        <v>53</v>
      </c>
      <c r="D75" s="27" t="s">
        <v>172</v>
      </c>
      <c r="E75" s="25" t="s">
        <v>63</v>
      </c>
      <c r="F75" s="28"/>
      <c r="G75" s="29" t="s">
        <v>92</v>
      </c>
      <c r="H75" s="22"/>
      <c r="I75" s="23"/>
      <c r="J75" s="23"/>
      <c r="K75" s="23"/>
      <c r="L75" s="30" t="str">
        <f aca="false">IF(H75="","",H75+2)</f>
        <v/>
      </c>
      <c r="M75" s="7"/>
      <c r="N75" s="30" t="str">
        <f aca="false">IF(H75="","",H75+6)</f>
        <v/>
      </c>
      <c r="O75" s="7"/>
      <c r="P75" s="30" t="str">
        <f aca="false">IF(H75="","",H75+29)</f>
        <v/>
      </c>
      <c r="Q75" s="7"/>
      <c r="R75" s="30" t="str">
        <f aca="false">IF(H75="","",IF(Q75="Done","Mastered",IF(M75&lt;&gt;"Done",L75,IF(O75&lt;&gt;"Done",N75,P75))))</f>
        <v/>
      </c>
      <c r="S75" s="25" t="str">
        <f aca="true">IF(H75="","Not started",IF(Q75="Done","Mastered",IF(OR(M75="Redo",O75="Redo",Q75="Redo"),"Redo",IF(R75&lt;=TODAY(),"Re-solve due","In progress"))))</f>
        <v>Not started</v>
      </c>
    </row>
    <row r="76" customFormat="false" ht="15" hidden="false" customHeight="false" outlineLevel="0" collapsed="false">
      <c r="A76" s="25" t="n">
        <v>6</v>
      </c>
      <c r="B76" s="26" t="s">
        <v>171</v>
      </c>
      <c r="C76" s="25" t="n">
        <v>55</v>
      </c>
      <c r="D76" s="27" t="s">
        <v>173</v>
      </c>
      <c r="E76" s="25" t="s">
        <v>63</v>
      </c>
      <c r="F76" s="28"/>
      <c r="G76" s="29" t="s">
        <v>92</v>
      </c>
      <c r="H76" s="22"/>
      <c r="I76" s="23"/>
      <c r="J76" s="23"/>
      <c r="K76" s="23"/>
      <c r="L76" s="30" t="str">
        <f aca="false">IF(H76="","",H76+2)</f>
        <v/>
      </c>
      <c r="M76" s="7"/>
      <c r="N76" s="30" t="str">
        <f aca="false">IF(H76="","",H76+6)</f>
        <v/>
      </c>
      <c r="O76" s="7"/>
      <c r="P76" s="30" t="str">
        <f aca="false">IF(H76="","",H76+29)</f>
        <v/>
      </c>
      <c r="Q76" s="7"/>
      <c r="R76" s="30" t="str">
        <f aca="false">IF(H76="","",IF(Q76="Done","Mastered",IF(M76&lt;&gt;"Done",L76,IF(O76&lt;&gt;"Done",N76,P76))))</f>
        <v/>
      </c>
      <c r="S76" s="25" t="str">
        <f aca="true">IF(H76="","Not started",IF(Q76="Done","Mastered",IF(OR(M76="Redo",O76="Redo",Q76="Redo"),"Redo",IF(R76&lt;=TODAY(),"Re-solve due","In progress"))))</f>
        <v>Not started</v>
      </c>
    </row>
    <row r="77" customFormat="false" ht="15" hidden="false" customHeight="false" outlineLevel="0" collapsed="false">
      <c r="A77" s="25" t="n">
        <v>6</v>
      </c>
      <c r="B77" s="26" t="s">
        <v>171</v>
      </c>
      <c r="C77" s="25" t="n">
        <v>45</v>
      </c>
      <c r="D77" s="27" t="s">
        <v>174</v>
      </c>
      <c r="E77" s="25" t="s">
        <v>63</v>
      </c>
      <c r="F77" s="28"/>
      <c r="G77" s="29" t="s">
        <v>92</v>
      </c>
      <c r="H77" s="22"/>
      <c r="I77" s="23"/>
      <c r="J77" s="23"/>
      <c r="K77" s="23"/>
      <c r="L77" s="30" t="str">
        <f aca="false">IF(H77="","",H77+2)</f>
        <v/>
      </c>
      <c r="M77" s="7"/>
      <c r="N77" s="30" t="str">
        <f aca="false">IF(H77="","",H77+6)</f>
        <v/>
      </c>
      <c r="O77" s="7"/>
      <c r="P77" s="30" t="str">
        <f aca="false">IF(H77="","",H77+29)</f>
        <v/>
      </c>
      <c r="Q77" s="7"/>
      <c r="R77" s="30" t="str">
        <f aca="false">IF(H77="","",IF(Q77="Done","Mastered",IF(M77&lt;&gt;"Done",L77,IF(O77&lt;&gt;"Done",N77,P77))))</f>
        <v/>
      </c>
      <c r="S77" s="25" t="str">
        <f aca="true">IF(H77="","Not started",IF(Q77="Done","Mastered",IF(OR(M77="Redo",O77="Redo",Q77="Redo"),"Redo",IF(R77&lt;=TODAY(),"Re-solve due","In progress"))))</f>
        <v>Not started</v>
      </c>
    </row>
    <row r="78" customFormat="false" ht="15" hidden="false" customHeight="false" outlineLevel="0" collapsed="false">
      <c r="A78" s="25" t="n">
        <v>6</v>
      </c>
      <c r="B78" s="26" t="s">
        <v>171</v>
      </c>
      <c r="C78" s="25" t="n">
        <v>134</v>
      </c>
      <c r="D78" s="27" t="s">
        <v>175</v>
      </c>
      <c r="E78" s="25" t="s">
        <v>63</v>
      </c>
      <c r="F78" s="28"/>
      <c r="G78" s="29" t="s">
        <v>92</v>
      </c>
      <c r="H78" s="22"/>
      <c r="I78" s="23"/>
      <c r="J78" s="23"/>
      <c r="K78" s="23"/>
      <c r="L78" s="30" t="str">
        <f aca="false">IF(H78="","",H78+2)</f>
        <v/>
      </c>
      <c r="M78" s="7"/>
      <c r="N78" s="30" t="str">
        <f aca="false">IF(H78="","",H78+6)</f>
        <v/>
      </c>
      <c r="O78" s="7"/>
      <c r="P78" s="30" t="str">
        <f aca="false">IF(H78="","",H78+29)</f>
        <v/>
      </c>
      <c r="Q78" s="7"/>
      <c r="R78" s="30" t="str">
        <f aca="false">IF(H78="","",IF(Q78="Done","Mastered",IF(M78&lt;&gt;"Done",L78,IF(O78&lt;&gt;"Done",N78,P78))))</f>
        <v/>
      </c>
      <c r="S78" s="25" t="str">
        <f aca="true">IF(H78="","Not started",IF(Q78="Done","Mastered",IF(OR(M78="Redo",O78="Redo",Q78="Redo"),"Redo",IF(R78&lt;=TODAY(),"Re-solve due","In progress"))))</f>
        <v>Not started</v>
      </c>
    </row>
    <row r="79" customFormat="false" ht="15" hidden="false" customHeight="false" outlineLevel="0" collapsed="false">
      <c r="A79" s="25" t="n">
        <v>6</v>
      </c>
      <c r="B79" s="26" t="s">
        <v>171</v>
      </c>
      <c r="C79" s="25" t="n">
        <v>846</v>
      </c>
      <c r="D79" s="27" t="s">
        <v>176</v>
      </c>
      <c r="E79" s="25" t="s">
        <v>63</v>
      </c>
      <c r="F79" s="28"/>
      <c r="G79" s="29" t="s">
        <v>92</v>
      </c>
      <c r="H79" s="22"/>
      <c r="I79" s="23"/>
      <c r="J79" s="23"/>
      <c r="K79" s="23"/>
      <c r="L79" s="30" t="str">
        <f aca="false">IF(H79="","",H79+2)</f>
        <v/>
      </c>
      <c r="M79" s="7"/>
      <c r="N79" s="30" t="str">
        <f aca="false">IF(H79="","",H79+6)</f>
        <v/>
      </c>
      <c r="O79" s="7"/>
      <c r="P79" s="30" t="str">
        <f aca="false">IF(H79="","",H79+29)</f>
        <v/>
      </c>
      <c r="Q79" s="7"/>
      <c r="R79" s="30" t="str">
        <f aca="false">IF(H79="","",IF(Q79="Done","Mastered",IF(M79&lt;&gt;"Done",L79,IF(O79&lt;&gt;"Done",N79,P79))))</f>
        <v/>
      </c>
      <c r="S79" s="25" t="str">
        <f aca="true">IF(H79="","Not started",IF(Q79="Done","Mastered",IF(OR(M79="Redo",O79="Redo",Q79="Redo"),"Redo",IF(R79&lt;=TODAY(),"Re-solve due","In progress"))))</f>
        <v>Not started</v>
      </c>
    </row>
    <row r="80" customFormat="false" ht="15" hidden="false" customHeight="false" outlineLevel="0" collapsed="false">
      <c r="A80" s="25" t="n">
        <v>6</v>
      </c>
      <c r="B80" s="26" t="s">
        <v>171</v>
      </c>
      <c r="C80" s="25" t="n">
        <v>1899</v>
      </c>
      <c r="D80" s="27" t="s">
        <v>177</v>
      </c>
      <c r="E80" s="25" t="s">
        <v>63</v>
      </c>
      <c r="F80" s="28"/>
      <c r="G80" s="29" t="s">
        <v>92</v>
      </c>
      <c r="H80" s="22"/>
      <c r="I80" s="23"/>
      <c r="J80" s="23"/>
      <c r="K80" s="23"/>
      <c r="L80" s="30" t="str">
        <f aca="false">IF(H80="","",H80+2)</f>
        <v/>
      </c>
      <c r="M80" s="7"/>
      <c r="N80" s="30" t="str">
        <f aca="false">IF(H80="","",H80+6)</f>
        <v/>
      </c>
      <c r="O80" s="7"/>
      <c r="P80" s="30" t="str">
        <f aca="false">IF(H80="","",H80+29)</f>
        <v/>
      </c>
      <c r="Q80" s="7"/>
      <c r="R80" s="30" t="str">
        <f aca="false">IF(H80="","",IF(Q80="Done","Mastered",IF(M80&lt;&gt;"Done",L80,IF(O80&lt;&gt;"Done",N80,P80))))</f>
        <v/>
      </c>
      <c r="S80" s="25" t="str">
        <f aca="true">IF(H80="","Not started",IF(Q80="Done","Mastered",IF(OR(M80="Redo",O80="Redo",Q80="Redo"),"Redo",IF(R80&lt;=TODAY(),"Re-solve due","In progress"))))</f>
        <v>Not started</v>
      </c>
    </row>
    <row r="81" customFormat="false" ht="15" hidden="false" customHeight="false" outlineLevel="0" collapsed="false">
      <c r="A81" s="25" t="n">
        <v>6</v>
      </c>
      <c r="B81" s="26" t="s">
        <v>171</v>
      </c>
      <c r="C81" s="25" t="n">
        <v>763</v>
      </c>
      <c r="D81" s="27" t="s">
        <v>178</v>
      </c>
      <c r="E81" s="25" t="s">
        <v>63</v>
      </c>
      <c r="F81" s="28"/>
      <c r="G81" s="29" t="s">
        <v>92</v>
      </c>
      <c r="H81" s="22"/>
      <c r="I81" s="23"/>
      <c r="J81" s="23"/>
      <c r="K81" s="23"/>
      <c r="L81" s="30" t="str">
        <f aca="false">IF(H81="","",H81+2)</f>
        <v/>
      </c>
      <c r="M81" s="7"/>
      <c r="N81" s="30" t="str">
        <f aca="false">IF(H81="","",H81+6)</f>
        <v/>
      </c>
      <c r="O81" s="7"/>
      <c r="P81" s="30" t="str">
        <f aca="false">IF(H81="","",H81+29)</f>
        <v/>
      </c>
      <c r="Q81" s="7"/>
      <c r="R81" s="30" t="str">
        <f aca="false">IF(H81="","",IF(Q81="Done","Mastered",IF(M81&lt;&gt;"Done",L81,IF(O81&lt;&gt;"Done",N81,P81))))</f>
        <v/>
      </c>
      <c r="S81" s="25" t="str">
        <f aca="true">IF(H81="","Not started",IF(Q81="Done","Mastered",IF(OR(M81="Redo",O81="Redo",Q81="Redo"),"Redo",IF(R81&lt;=TODAY(),"Re-solve due","In progress"))))</f>
        <v>Not started</v>
      </c>
    </row>
    <row r="82" customFormat="false" ht="15" hidden="false" customHeight="false" outlineLevel="0" collapsed="false">
      <c r="A82" s="25" t="n">
        <v>6</v>
      </c>
      <c r="B82" s="26" t="s">
        <v>171</v>
      </c>
      <c r="C82" s="25" t="n">
        <v>678</v>
      </c>
      <c r="D82" s="27" t="s">
        <v>179</v>
      </c>
      <c r="E82" s="25" t="s">
        <v>63</v>
      </c>
      <c r="F82" s="28"/>
      <c r="G82" s="29" t="s">
        <v>92</v>
      </c>
      <c r="H82" s="22"/>
      <c r="I82" s="23"/>
      <c r="J82" s="23"/>
      <c r="K82" s="23"/>
      <c r="L82" s="30" t="str">
        <f aca="false">IF(H82="","",H82+2)</f>
        <v/>
      </c>
      <c r="M82" s="7"/>
      <c r="N82" s="30" t="str">
        <f aca="false">IF(H82="","",H82+6)</f>
        <v/>
      </c>
      <c r="O82" s="7"/>
      <c r="P82" s="30" t="str">
        <f aca="false">IF(H82="","",H82+29)</f>
        <v/>
      </c>
      <c r="Q82" s="7"/>
      <c r="R82" s="30" t="str">
        <f aca="false">IF(H82="","",IF(Q82="Done","Mastered",IF(M82&lt;&gt;"Done",L82,IF(O82&lt;&gt;"Done",N82,P82))))</f>
        <v/>
      </c>
      <c r="S82" s="25" t="str">
        <f aca="true">IF(H82="","Not started",IF(Q82="Done","Mastered",IF(OR(M82="Redo",O82="Redo",Q82="Redo"),"Redo",IF(R82&lt;=TODAY(),"Re-solve due","In progress"))))</f>
        <v>Not started</v>
      </c>
    </row>
    <row r="83" customFormat="false" ht="15" hidden="false" customHeight="false" outlineLevel="0" collapsed="false">
      <c r="A83" s="17" t="n">
        <v>7</v>
      </c>
      <c r="B83" s="18" t="s">
        <v>180</v>
      </c>
      <c r="C83" s="17" t="n">
        <v>78</v>
      </c>
      <c r="D83" s="19" t="s">
        <v>181</v>
      </c>
      <c r="E83" s="17" t="s">
        <v>63</v>
      </c>
      <c r="F83" s="20"/>
      <c r="G83" s="21" t="s">
        <v>92</v>
      </c>
      <c r="H83" s="22"/>
      <c r="I83" s="23"/>
      <c r="J83" s="23"/>
      <c r="K83" s="23"/>
      <c r="L83" s="24" t="str">
        <f aca="false">IF(H83="","",H83+2)</f>
        <v/>
      </c>
      <c r="M83" s="7"/>
      <c r="N83" s="24" t="str">
        <f aca="false">IF(H83="","",H83+6)</f>
        <v/>
      </c>
      <c r="O83" s="7"/>
      <c r="P83" s="24" t="str">
        <f aca="false">IF(H83="","",H83+29)</f>
        <v/>
      </c>
      <c r="Q83" s="7"/>
      <c r="R83" s="24" t="str">
        <f aca="false">IF(H83="","",IF(Q83="Done","Mastered",IF(M83&lt;&gt;"Done",L83,IF(O83&lt;&gt;"Done",N83,P83))))</f>
        <v/>
      </c>
      <c r="S83" s="17" t="str">
        <f aca="true">IF(H83="","Not started",IF(Q83="Done","Mastered",IF(OR(M83="Redo",O83="Redo",Q83="Redo"),"Redo",IF(R83&lt;=TODAY(),"Re-solve due","In progress"))))</f>
        <v>Not started</v>
      </c>
    </row>
    <row r="84" customFormat="false" ht="15" hidden="false" customHeight="false" outlineLevel="0" collapsed="false">
      <c r="A84" s="17" t="n">
        <v>7</v>
      </c>
      <c r="B84" s="18" t="s">
        <v>180</v>
      </c>
      <c r="C84" s="17" t="n">
        <v>39</v>
      </c>
      <c r="D84" s="19" t="s">
        <v>182</v>
      </c>
      <c r="E84" s="17" t="s">
        <v>63</v>
      </c>
      <c r="F84" s="20"/>
      <c r="G84" s="21" t="s">
        <v>92</v>
      </c>
      <c r="H84" s="22"/>
      <c r="I84" s="23"/>
      <c r="J84" s="23"/>
      <c r="K84" s="23"/>
      <c r="L84" s="24" t="str">
        <f aca="false">IF(H84="","",H84+2)</f>
        <v/>
      </c>
      <c r="M84" s="7"/>
      <c r="N84" s="24" t="str">
        <f aca="false">IF(H84="","",H84+6)</f>
        <v/>
      </c>
      <c r="O84" s="7"/>
      <c r="P84" s="24" t="str">
        <f aca="false">IF(H84="","",H84+29)</f>
        <v/>
      </c>
      <c r="Q84" s="7"/>
      <c r="R84" s="24" t="str">
        <f aca="false">IF(H84="","",IF(Q84="Done","Mastered",IF(M84&lt;&gt;"Done",L84,IF(O84&lt;&gt;"Done",N84,P84))))</f>
        <v/>
      </c>
      <c r="S84" s="17" t="str">
        <f aca="true">IF(H84="","Not started",IF(Q84="Done","Mastered",IF(OR(M84="Redo",O84="Redo",Q84="Redo"),"Redo",IF(R84&lt;=TODAY(),"Re-solve due","In progress"))))</f>
        <v>Not started</v>
      </c>
    </row>
    <row r="85" customFormat="false" ht="15" hidden="false" customHeight="false" outlineLevel="0" collapsed="false">
      <c r="A85" s="17" t="n">
        <v>7</v>
      </c>
      <c r="B85" s="18" t="s">
        <v>180</v>
      </c>
      <c r="C85" s="17" t="n">
        <v>46</v>
      </c>
      <c r="D85" s="19" t="s">
        <v>183</v>
      </c>
      <c r="E85" s="17" t="s">
        <v>63</v>
      </c>
      <c r="F85" s="20"/>
      <c r="G85" s="21" t="s">
        <v>92</v>
      </c>
      <c r="H85" s="22"/>
      <c r="I85" s="23"/>
      <c r="J85" s="23"/>
      <c r="K85" s="23"/>
      <c r="L85" s="24" t="str">
        <f aca="false">IF(H85="","",H85+2)</f>
        <v/>
      </c>
      <c r="M85" s="7"/>
      <c r="N85" s="24" t="str">
        <f aca="false">IF(H85="","",H85+6)</f>
        <v/>
      </c>
      <c r="O85" s="7"/>
      <c r="P85" s="24" t="str">
        <f aca="false">IF(H85="","",H85+29)</f>
        <v/>
      </c>
      <c r="Q85" s="7"/>
      <c r="R85" s="24" t="str">
        <f aca="false">IF(H85="","",IF(Q85="Done","Mastered",IF(M85&lt;&gt;"Done",L85,IF(O85&lt;&gt;"Done",N85,P85))))</f>
        <v/>
      </c>
      <c r="S85" s="17" t="str">
        <f aca="true">IF(H85="","Not started",IF(Q85="Done","Mastered",IF(OR(M85="Redo",O85="Redo",Q85="Redo"),"Redo",IF(R85&lt;=TODAY(),"Re-solve due","In progress"))))</f>
        <v>Not started</v>
      </c>
    </row>
    <row r="86" customFormat="false" ht="15" hidden="false" customHeight="false" outlineLevel="0" collapsed="false">
      <c r="A86" s="17" t="n">
        <v>7</v>
      </c>
      <c r="B86" s="18" t="s">
        <v>180</v>
      </c>
      <c r="C86" s="17" t="n">
        <v>90</v>
      </c>
      <c r="D86" s="19" t="s">
        <v>184</v>
      </c>
      <c r="E86" s="17" t="s">
        <v>63</v>
      </c>
      <c r="F86" s="20"/>
      <c r="G86" s="21" t="s">
        <v>92</v>
      </c>
      <c r="H86" s="22"/>
      <c r="I86" s="23"/>
      <c r="J86" s="23"/>
      <c r="K86" s="23"/>
      <c r="L86" s="24" t="str">
        <f aca="false">IF(H86="","",H86+2)</f>
        <v/>
      </c>
      <c r="M86" s="7"/>
      <c r="N86" s="24" t="str">
        <f aca="false">IF(H86="","",H86+6)</f>
        <v/>
      </c>
      <c r="O86" s="7"/>
      <c r="P86" s="24" t="str">
        <f aca="false">IF(H86="","",H86+29)</f>
        <v/>
      </c>
      <c r="Q86" s="7"/>
      <c r="R86" s="24" t="str">
        <f aca="false">IF(H86="","",IF(Q86="Done","Mastered",IF(M86&lt;&gt;"Done",L86,IF(O86&lt;&gt;"Done",N86,P86))))</f>
        <v/>
      </c>
      <c r="S86" s="17" t="str">
        <f aca="true">IF(H86="","Not started",IF(Q86="Done","Mastered",IF(OR(M86="Redo",O86="Redo",Q86="Redo"),"Redo",IF(R86&lt;=TODAY(),"Re-solve due","In progress"))))</f>
        <v>Not started</v>
      </c>
    </row>
    <row r="87" customFormat="false" ht="15" hidden="false" customHeight="false" outlineLevel="0" collapsed="false">
      <c r="A87" s="17" t="n">
        <v>7</v>
      </c>
      <c r="B87" s="18" t="s">
        <v>180</v>
      </c>
      <c r="C87" s="17" t="n">
        <v>40</v>
      </c>
      <c r="D87" s="19" t="s">
        <v>185</v>
      </c>
      <c r="E87" s="17" t="s">
        <v>63</v>
      </c>
      <c r="F87" s="20"/>
      <c r="G87" s="21" t="s">
        <v>92</v>
      </c>
      <c r="H87" s="22"/>
      <c r="I87" s="23"/>
      <c r="J87" s="23"/>
      <c r="K87" s="23"/>
      <c r="L87" s="24" t="str">
        <f aca="false">IF(H87="","",H87+2)</f>
        <v/>
      </c>
      <c r="M87" s="7"/>
      <c r="N87" s="24" t="str">
        <f aca="false">IF(H87="","",H87+6)</f>
        <v/>
      </c>
      <c r="O87" s="7"/>
      <c r="P87" s="24" t="str">
        <f aca="false">IF(H87="","",H87+29)</f>
        <v/>
      </c>
      <c r="Q87" s="7"/>
      <c r="R87" s="24" t="str">
        <f aca="false">IF(H87="","",IF(Q87="Done","Mastered",IF(M87&lt;&gt;"Done",L87,IF(O87&lt;&gt;"Done",N87,P87))))</f>
        <v/>
      </c>
      <c r="S87" s="17" t="str">
        <f aca="true">IF(H87="","Not started",IF(Q87="Done","Mastered",IF(OR(M87="Redo",O87="Redo",Q87="Redo"),"Redo",IF(R87&lt;=TODAY(),"Re-solve due","In progress"))))</f>
        <v>Not started</v>
      </c>
    </row>
    <row r="88" customFormat="false" ht="15" hidden="false" customHeight="false" outlineLevel="0" collapsed="false">
      <c r="A88" s="17" t="n">
        <v>7</v>
      </c>
      <c r="B88" s="18" t="s">
        <v>180</v>
      </c>
      <c r="C88" s="17" t="n">
        <v>79</v>
      </c>
      <c r="D88" s="19" t="s">
        <v>186</v>
      </c>
      <c r="E88" s="17" t="s">
        <v>63</v>
      </c>
      <c r="F88" s="20"/>
      <c r="G88" s="21" t="s">
        <v>92</v>
      </c>
      <c r="H88" s="22"/>
      <c r="I88" s="23"/>
      <c r="J88" s="23"/>
      <c r="K88" s="23"/>
      <c r="L88" s="24" t="str">
        <f aca="false">IF(H88="","",H88+2)</f>
        <v/>
      </c>
      <c r="M88" s="7"/>
      <c r="N88" s="24" t="str">
        <f aca="false">IF(H88="","",H88+6)</f>
        <v/>
      </c>
      <c r="O88" s="7"/>
      <c r="P88" s="24" t="str">
        <f aca="false">IF(H88="","",H88+29)</f>
        <v/>
      </c>
      <c r="Q88" s="7"/>
      <c r="R88" s="24" t="str">
        <f aca="false">IF(H88="","",IF(Q88="Done","Mastered",IF(M88&lt;&gt;"Done",L88,IF(O88&lt;&gt;"Done",N88,P88))))</f>
        <v/>
      </c>
      <c r="S88" s="17" t="str">
        <f aca="true">IF(H88="","Not started",IF(Q88="Done","Mastered",IF(OR(M88="Redo",O88="Redo",Q88="Redo"),"Redo",IF(R88&lt;=TODAY(),"Re-solve due","In progress"))))</f>
        <v>Not started</v>
      </c>
    </row>
    <row r="89" customFormat="false" ht="15" hidden="false" customHeight="false" outlineLevel="0" collapsed="false">
      <c r="A89" s="17" t="n">
        <v>7</v>
      </c>
      <c r="B89" s="18" t="s">
        <v>180</v>
      </c>
      <c r="C89" s="17" t="n">
        <v>131</v>
      </c>
      <c r="D89" s="19" t="s">
        <v>187</v>
      </c>
      <c r="E89" s="17" t="s">
        <v>63</v>
      </c>
      <c r="F89" s="20"/>
      <c r="G89" s="21" t="s">
        <v>92</v>
      </c>
      <c r="H89" s="22"/>
      <c r="I89" s="23"/>
      <c r="J89" s="23"/>
      <c r="K89" s="23"/>
      <c r="L89" s="24" t="str">
        <f aca="false">IF(H89="","",H89+2)</f>
        <v/>
      </c>
      <c r="M89" s="7"/>
      <c r="N89" s="24" t="str">
        <f aca="false">IF(H89="","",H89+6)</f>
        <v/>
      </c>
      <c r="O89" s="7"/>
      <c r="P89" s="24" t="str">
        <f aca="false">IF(H89="","",H89+29)</f>
        <v/>
      </c>
      <c r="Q89" s="7"/>
      <c r="R89" s="24" t="str">
        <f aca="false">IF(H89="","",IF(Q89="Done","Mastered",IF(M89&lt;&gt;"Done",L89,IF(O89&lt;&gt;"Done",N89,P89))))</f>
        <v/>
      </c>
      <c r="S89" s="17" t="str">
        <f aca="true">IF(H89="","Not started",IF(Q89="Done","Mastered",IF(OR(M89="Redo",O89="Redo",Q89="Redo"),"Redo",IF(R89&lt;=TODAY(),"Re-solve due","In progress"))))</f>
        <v>Not started</v>
      </c>
    </row>
    <row r="90" customFormat="false" ht="15" hidden="false" customHeight="false" outlineLevel="0" collapsed="false">
      <c r="A90" s="17" t="n">
        <v>7</v>
      </c>
      <c r="B90" s="18" t="s">
        <v>180</v>
      </c>
      <c r="C90" s="17" t="n">
        <v>17</v>
      </c>
      <c r="D90" s="19" t="s">
        <v>188</v>
      </c>
      <c r="E90" s="17" t="s">
        <v>63</v>
      </c>
      <c r="F90" s="20"/>
      <c r="G90" s="21" t="s">
        <v>92</v>
      </c>
      <c r="H90" s="22"/>
      <c r="I90" s="23"/>
      <c r="J90" s="23"/>
      <c r="K90" s="23"/>
      <c r="L90" s="24" t="str">
        <f aca="false">IF(H90="","",H90+2)</f>
        <v/>
      </c>
      <c r="M90" s="7"/>
      <c r="N90" s="24" t="str">
        <f aca="false">IF(H90="","",H90+6)</f>
        <v/>
      </c>
      <c r="O90" s="7"/>
      <c r="P90" s="24" t="str">
        <f aca="false">IF(H90="","",H90+29)</f>
        <v/>
      </c>
      <c r="Q90" s="7"/>
      <c r="R90" s="24" t="str">
        <f aca="false">IF(H90="","",IF(Q90="Done","Mastered",IF(M90&lt;&gt;"Done",L90,IF(O90&lt;&gt;"Done",N90,P90))))</f>
        <v/>
      </c>
      <c r="S90" s="17" t="str">
        <f aca="true">IF(H90="","Not started",IF(Q90="Done","Mastered",IF(OR(M90="Redo",O90="Redo",Q90="Redo"),"Redo",IF(R90&lt;=TODAY(),"Re-solve due","In progress"))))</f>
        <v>Not started</v>
      </c>
    </row>
    <row r="91" customFormat="false" ht="15" hidden="false" customHeight="false" outlineLevel="0" collapsed="false">
      <c r="A91" s="17" t="n">
        <v>7</v>
      </c>
      <c r="B91" s="18" t="s">
        <v>180</v>
      </c>
      <c r="C91" s="17" t="n">
        <v>51</v>
      </c>
      <c r="D91" s="19" t="s">
        <v>189</v>
      </c>
      <c r="E91" s="17" t="s">
        <v>64</v>
      </c>
      <c r="F91" s="20"/>
      <c r="G91" s="21" t="s">
        <v>92</v>
      </c>
      <c r="H91" s="22"/>
      <c r="I91" s="23"/>
      <c r="J91" s="23"/>
      <c r="K91" s="23"/>
      <c r="L91" s="24" t="str">
        <f aca="false">IF(H91="","",H91+2)</f>
        <v/>
      </c>
      <c r="M91" s="7"/>
      <c r="N91" s="24" t="str">
        <f aca="false">IF(H91="","",H91+6)</f>
        <v/>
      </c>
      <c r="O91" s="7"/>
      <c r="P91" s="24" t="str">
        <f aca="false">IF(H91="","",H91+29)</f>
        <v/>
      </c>
      <c r="Q91" s="7"/>
      <c r="R91" s="24" t="str">
        <f aca="false">IF(H91="","",IF(Q91="Done","Mastered",IF(M91&lt;&gt;"Done",L91,IF(O91&lt;&gt;"Done",N91,P91))))</f>
        <v/>
      </c>
      <c r="S91" s="17" t="str">
        <f aca="true">IF(H91="","Not started",IF(Q91="Done","Mastered",IF(OR(M91="Redo",O91="Redo",Q91="Redo"),"Redo",IF(R91&lt;=TODAY(),"Re-solve due","In progress"))))</f>
        <v>Not started</v>
      </c>
    </row>
    <row r="92" customFormat="false" ht="15" hidden="false" customHeight="false" outlineLevel="0" collapsed="false">
      <c r="A92" s="17" t="n">
        <v>7</v>
      </c>
      <c r="B92" s="18" t="s">
        <v>190</v>
      </c>
      <c r="C92" s="17" t="n">
        <v>208</v>
      </c>
      <c r="D92" s="19" t="s">
        <v>191</v>
      </c>
      <c r="E92" s="17" t="s">
        <v>63</v>
      </c>
      <c r="F92" s="20"/>
      <c r="G92" s="21" t="s">
        <v>92</v>
      </c>
      <c r="H92" s="22"/>
      <c r="I92" s="23"/>
      <c r="J92" s="23"/>
      <c r="K92" s="23"/>
      <c r="L92" s="24" t="str">
        <f aca="false">IF(H92="","",H92+2)</f>
        <v/>
      </c>
      <c r="M92" s="7"/>
      <c r="N92" s="24" t="str">
        <f aca="false">IF(H92="","",H92+6)</f>
        <v/>
      </c>
      <c r="O92" s="7"/>
      <c r="P92" s="24" t="str">
        <f aca="false">IF(H92="","",H92+29)</f>
        <v/>
      </c>
      <c r="Q92" s="7"/>
      <c r="R92" s="24" t="str">
        <f aca="false">IF(H92="","",IF(Q92="Done","Mastered",IF(M92&lt;&gt;"Done",L92,IF(O92&lt;&gt;"Done",N92,P92))))</f>
        <v/>
      </c>
      <c r="S92" s="17" t="str">
        <f aca="true">IF(H92="","Not started",IF(Q92="Done","Mastered",IF(OR(M92="Redo",O92="Redo",Q92="Redo"),"Redo",IF(R92&lt;=TODAY(),"Re-solve due","In progress"))))</f>
        <v>Not started</v>
      </c>
    </row>
    <row r="93" customFormat="false" ht="15" hidden="false" customHeight="false" outlineLevel="0" collapsed="false">
      <c r="A93" s="17" t="n">
        <v>7</v>
      </c>
      <c r="B93" s="18" t="s">
        <v>190</v>
      </c>
      <c r="C93" s="17" t="n">
        <v>211</v>
      </c>
      <c r="D93" s="19" t="s">
        <v>192</v>
      </c>
      <c r="E93" s="17" t="s">
        <v>63</v>
      </c>
      <c r="F93" s="20"/>
      <c r="G93" s="21" t="s">
        <v>92</v>
      </c>
      <c r="H93" s="22"/>
      <c r="I93" s="23"/>
      <c r="J93" s="23"/>
      <c r="K93" s="23"/>
      <c r="L93" s="24" t="str">
        <f aca="false">IF(H93="","",H93+2)</f>
        <v/>
      </c>
      <c r="M93" s="7"/>
      <c r="N93" s="24" t="str">
        <f aca="false">IF(H93="","",H93+6)</f>
        <v/>
      </c>
      <c r="O93" s="7"/>
      <c r="P93" s="24" t="str">
        <f aca="false">IF(H93="","",H93+29)</f>
        <v/>
      </c>
      <c r="Q93" s="7"/>
      <c r="R93" s="24" t="str">
        <f aca="false">IF(H93="","",IF(Q93="Done","Mastered",IF(M93&lt;&gt;"Done",L93,IF(O93&lt;&gt;"Done",N93,P93))))</f>
        <v/>
      </c>
      <c r="S93" s="17" t="str">
        <f aca="true">IF(H93="","Not started",IF(Q93="Done","Mastered",IF(OR(M93="Redo",O93="Redo",Q93="Redo"),"Redo",IF(R93&lt;=TODAY(),"Re-solve due","In progress"))))</f>
        <v>Not started</v>
      </c>
    </row>
    <row r="94" customFormat="false" ht="15" hidden="false" customHeight="false" outlineLevel="0" collapsed="false">
      <c r="A94" s="17" t="n">
        <v>7</v>
      </c>
      <c r="B94" s="18" t="s">
        <v>190</v>
      </c>
      <c r="C94" s="17" t="n">
        <v>212</v>
      </c>
      <c r="D94" s="19" t="s">
        <v>193</v>
      </c>
      <c r="E94" s="17" t="s">
        <v>64</v>
      </c>
      <c r="F94" s="20"/>
      <c r="G94" s="21" t="s">
        <v>92</v>
      </c>
      <c r="H94" s="22"/>
      <c r="I94" s="23"/>
      <c r="J94" s="23"/>
      <c r="K94" s="23"/>
      <c r="L94" s="24" t="str">
        <f aca="false">IF(H94="","",H94+2)</f>
        <v/>
      </c>
      <c r="M94" s="7"/>
      <c r="N94" s="24" t="str">
        <f aca="false">IF(H94="","",H94+6)</f>
        <v/>
      </c>
      <c r="O94" s="7"/>
      <c r="P94" s="24" t="str">
        <f aca="false">IF(H94="","",H94+29)</f>
        <v/>
      </c>
      <c r="Q94" s="7"/>
      <c r="R94" s="24" t="str">
        <f aca="false">IF(H94="","",IF(Q94="Done","Mastered",IF(M94&lt;&gt;"Done",L94,IF(O94&lt;&gt;"Done",N94,P94))))</f>
        <v/>
      </c>
      <c r="S94" s="17" t="str">
        <f aca="true">IF(H94="","Not started",IF(Q94="Done","Mastered",IF(OR(M94="Redo",O94="Redo",Q94="Redo"),"Redo",IF(R94&lt;=TODAY(),"Re-solve due","In progress"))))</f>
        <v>Not started</v>
      </c>
    </row>
    <row r="95" customFormat="false" ht="15" hidden="false" customHeight="false" outlineLevel="0" collapsed="false">
      <c r="A95" s="25" t="n">
        <v>8</v>
      </c>
      <c r="B95" s="26" t="s">
        <v>72</v>
      </c>
      <c r="C95" s="25" t="n">
        <v>200</v>
      </c>
      <c r="D95" s="27" t="s">
        <v>194</v>
      </c>
      <c r="E95" s="25" t="s">
        <v>63</v>
      </c>
      <c r="F95" s="28"/>
      <c r="G95" s="29" t="s">
        <v>92</v>
      </c>
      <c r="H95" s="22"/>
      <c r="I95" s="23"/>
      <c r="J95" s="23"/>
      <c r="K95" s="23"/>
      <c r="L95" s="30" t="str">
        <f aca="false">IF(H95="","",H95+2)</f>
        <v/>
      </c>
      <c r="M95" s="7"/>
      <c r="N95" s="30" t="str">
        <f aca="false">IF(H95="","",H95+6)</f>
        <v/>
      </c>
      <c r="O95" s="7"/>
      <c r="P95" s="30" t="str">
        <f aca="false">IF(H95="","",H95+29)</f>
        <v/>
      </c>
      <c r="Q95" s="7"/>
      <c r="R95" s="30" t="str">
        <f aca="false">IF(H95="","",IF(Q95="Done","Mastered",IF(M95&lt;&gt;"Done",L95,IF(O95&lt;&gt;"Done",N95,P95))))</f>
        <v/>
      </c>
      <c r="S95" s="25" t="str">
        <f aca="true">IF(H95="","Not started",IF(Q95="Done","Mastered",IF(OR(M95="Redo",O95="Redo",Q95="Redo"),"Redo",IF(R95&lt;=TODAY(),"Re-solve due","In progress"))))</f>
        <v>Not started</v>
      </c>
    </row>
    <row r="96" customFormat="false" ht="15" hidden="false" customHeight="false" outlineLevel="0" collapsed="false">
      <c r="A96" s="25" t="n">
        <v>8</v>
      </c>
      <c r="B96" s="26" t="s">
        <v>72</v>
      </c>
      <c r="C96" s="25" t="n">
        <v>133</v>
      </c>
      <c r="D96" s="27" t="s">
        <v>195</v>
      </c>
      <c r="E96" s="25" t="s">
        <v>63</v>
      </c>
      <c r="F96" s="28"/>
      <c r="G96" s="29" t="s">
        <v>92</v>
      </c>
      <c r="H96" s="22"/>
      <c r="I96" s="23"/>
      <c r="J96" s="23"/>
      <c r="K96" s="23"/>
      <c r="L96" s="30" t="str">
        <f aca="false">IF(H96="","",H96+2)</f>
        <v/>
      </c>
      <c r="M96" s="7"/>
      <c r="N96" s="30" t="str">
        <f aca="false">IF(H96="","",H96+6)</f>
        <v/>
      </c>
      <c r="O96" s="7"/>
      <c r="P96" s="30" t="str">
        <f aca="false">IF(H96="","",H96+29)</f>
        <v/>
      </c>
      <c r="Q96" s="7"/>
      <c r="R96" s="30" t="str">
        <f aca="false">IF(H96="","",IF(Q96="Done","Mastered",IF(M96&lt;&gt;"Done",L96,IF(O96&lt;&gt;"Done",N96,P96))))</f>
        <v/>
      </c>
      <c r="S96" s="25" t="str">
        <f aca="true">IF(H96="","Not started",IF(Q96="Done","Mastered",IF(OR(M96="Redo",O96="Redo",Q96="Redo"),"Redo",IF(R96&lt;=TODAY(),"Re-solve due","In progress"))))</f>
        <v>Not started</v>
      </c>
    </row>
    <row r="97" customFormat="false" ht="15" hidden="false" customHeight="false" outlineLevel="0" collapsed="false">
      <c r="A97" s="25" t="n">
        <v>8</v>
      </c>
      <c r="B97" s="26" t="s">
        <v>72</v>
      </c>
      <c r="C97" s="25" t="n">
        <v>695</v>
      </c>
      <c r="D97" s="27" t="s">
        <v>196</v>
      </c>
      <c r="E97" s="25" t="s">
        <v>63</v>
      </c>
      <c r="F97" s="28"/>
      <c r="G97" s="29" t="s">
        <v>92</v>
      </c>
      <c r="H97" s="22"/>
      <c r="I97" s="23"/>
      <c r="J97" s="23"/>
      <c r="K97" s="23"/>
      <c r="L97" s="30" t="str">
        <f aca="false">IF(H97="","",H97+2)</f>
        <v/>
      </c>
      <c r="M97" s="7"/>
      <c r="N97" s="30" t="str">
        <f aca="false">IF(H97="","",H97+6)</f>
        <v/>
      </c>
      <c r="O97" s="7"/>
      <c r="P97" s="30" t="str">
        <f aca="false">IF(H97="","",H97+29)</f>
        <v/>
      </c>
      <c r="Q97" s="7"/>
      <c r="R97" s="30" t="str">
        <f aca="false">IF(H97="","",IF(Q97="Done","Mastered",IF(M97&lt;&gt;"Done",L97,IF(O97&lt;&gt;"Done",N97,P97))))</f>
        <v/>
      </c>
      <c r="S97" s="25" t="str">
        <f aca="true">IF(H97="","Not started",IF(Q97="Done","Mastered",IF(OR(M97="Redo",O97="Redo",Q97="Redo"),"Redo",IF(R97&lt;=TODAY(),"Re-solve due","In progress"))))</f>
        <v>Not started</v>
      </c>
    </row>
    <row r="98" customFormat="false" ht="15" hidden="false" customHeight="false" outlineLevel="0" collapsed="false">
      <c r="A98" s="25" t="n">
        <v>8</v>
      </c>
      <c r="B98" s="26" t="s">
        <v>72</v>
      </c>
      <c r="C98" s="25" t="n">
        <v>417</v>
      </c>
      <c r="D98" s="27" t="s">
        <v>197</v>
      </c>
      <c r="E98" s="25" t="s">
        <v>63</v>
      </c>
      <c r="F98" s="28"/>
      <c r="G98" s="29" t="s">
        <v>92</v>
      </c>
      <c r="H98" s="22"/>
      <c r="I98" s="23"/>
      <c r="J98" s="23"/>
      <c r="K98" s="23"/>
      <c r="L98" s="30" t="str">
        <f aca="false">IF(H98="","",H98+2)</f>
        <v/>
      </c>
      <c r="M98" s="7"/>
      <c r="N98" s="30" t="str">
        <f aca="false">IF(H98="","",H98+6)</f>
        <v/>
      </c>
      <c r="O98" s="7"/>
      <c r="P98" s="30" t="str">
        <f aca="false">IF(H98="","",H98+29)</f>
        <v/>
      </c>
      <c r="Q98" s="7"/>
      <c r="R98" s="30" t="str">
        <f aca="false">IF(H98="","",IF(Q98="Done","Mastered",IF(M98&lt;&gt;"Done",L98,IF(O98&lt;&gt;"Done",N98,P98))))</f>
        <v/>
      </c>
      <c r="S98" s="25" t="str">
        <f aca="true">IF(H98="","Not started",IF(Q98="Done","Mastered",IF(OR(M98="Redo",O98="Redo",Q98="Redo"),"Redo",IF(R98&lt;=TODAY(),"Re-solve due","In progress"))))</f>
        <v>Not started</v>
      </c>
    </row>
    <row r="99" customFormat="false" ht="15" hidden="false" customHeight="false" outlineLevel="0" collapsed="false">
      <c r="A99" s="25" t="n">
        <v>8</v>
      </c>
      <c r="B99" s="26" t="s">
        <v>72</v>
      </c>
      <c r="C99" s="25" t="n">
        <v>130</v>
      </c>
      <c r="D99" s="27" t="s">
        <v>198</v>
      </c>
      <c r="E99" s="25" t="s">
        <v>63</v>
      </c>
      <c r="F99" s="28"/>
      <c r="G99" s="29" t="s">
        <v>92</v>
      </c>
      <c r="H99" s="22"/>
      <c r="I99" s="23"/>
      <c r="J99" s="23"/>
      <c r="K99" s="23"/>
      <c r="L99" s="30" t="str">
        <f aca="false">IF(H99="","",H99+2)</f>
        <v/>
      </c>
      <c r="M99" s="7"/>
      <c r="N99" s="30" t="str">
        <f aca="false">IF(H99="","",H99+6)</f>
        <v/>
      </c>
      <c r="O99" s="7"/>
      <c r="P99" s="30" t="str">
        <f aca="false">IF(H99="","",H99+29)</f>
        <v/>
      </c>
      <c r="Q99" s="7"/>
      <c r="R99" s="30" t="str">
        <f aca="false">IF(H99="","",IF(Q99="Done","Mastered",IF(M99&lt;&gt;"Done",L99,IF(O99&lt;&gt;"Done",N99,P99))))</f>
        <v/>
      </c>
      <c r="S99" s="25" t="str">
        <f aca="true">IF(H99="","Not started",IF(Q99="Done","Mastered",IF(OR(M99="Redo",O99="Redo",Q99="Redo"),"Redo",IF(R99&lt;=TODAY(),"Re-solve due","In progress"))))</f>
        <v>Not started</v>
      </c>
    </row>
    <row r="100" customFormat="false" ht="15" hidden="false" customHeight="false" outlineLevel="0" collapsed="false">
      <c r="A100" s="25" t="n">
        <v>8</v>
      </c>
      <c r="B100" s="26" t="s">
        <v>72</v>
      </c>
      <c r="C100" s="25" t="n">
        <v>994</v>
      </c>
      <c r="D100" s="27" t="s">
        <v>199</v>
      </c>
      <c r="E100" s="25" t="s">
        <v>63</v>
      </c>
      <c r="F100" s="28"/>
      <c r="G100" s="29" t="s">
        <v>92</v>
      </c>
      <c r="H100" s="22"/>
      <c r="I100" s="23"/>
      <c r="J100" s="23"/>
      <c r="K100" s="23"/>
      <c r="L100" s="30" t="str">
        <f aca="false">IF(H100="","",H100+2)</f>
        <v/>
      </c>
      <c r="M100" s="7"/>
      <c r="N100" s="30" t="str">
        <f aca="false">IF(H100="","",H100+6)</f>
        <v/>
      </c>
      <c r="O100" s="7"/>
      <c r="P100" s="30" t="str">
        <f aca="false">IF(H100="","",H100+29)</f>
        <v/>
      </c>
      <c r="Q100" s="7"/>
      <c r="R100" s="30" t="str">
        <f aca="false">IF(H100="","",IF(Q100="Done","Mastered",IF(M100&lt;&gt;"Done",L100,IF(O100&lt;&gt;"Done",N100,P100))))</f>
        <v/>
      </c>
      <c r="S100" s="25" t="str">
        <f aca="true">IF(H100="","Not started",IF(Q100="Done","Mastered",IF(OR(M100="Redo",O100="Redo",Q100="Redo"),"Redo",IF(R100&lt;=TODAY(),"Re-solve due","In progress"))))</f>
        <v>Not started</v>
      </c>
    </row>
    <row r="101" customFormat="false" ht="15" hidden="false" customHeight="false" outlineLevel="0" collapsed="false">
      <c r="A101" s="25" t="n">
        <v>8</v>
      </c>
      <c r="B101" s="26" t="s">
        <v>72</v>
      </c>
      <c r="C101" s="25" t="n">
        <v>286</v>
      </c>
      <c r="D101" s="27" t="s">
        <v>200</v>
      </c>
      <c r="E101" s="25" t="s">
        <v>63</v>
      </c>
      <c r="F101" s="29" t="s">
        <v>100</v>
      </c>
      <c r="G101" s="29" t="s">
        <v>92</v>
      </c>
      <c r="H101" s="22"/>
      <c r="I101" s="23"/>
      <c r="J101" s="23"/>
      <c r="K101" s="23"/>
      <c r="L101" s="30" t="str">
        <f aca="false">IF(H101="","",H101+2)</f>
        <v/>
      </c>
      <c r="M101" s="7"/>
      <c r="N101" s="30" t="str">
        <f aca="false">IF(H101="","",H101+6)</f>
        <v/>
      </c>
      <c r="O101" s="7"/>
      <c r="P101" s="30" t="str">
        <f aca="false">IF(H101="","",H101+29)</f>
        <v/>
      </c>
      <c r="Q101" s="7"/>
      <c r="R101" s="30" t="str">
        <f aca="false">IF(H101="","",IF(Q101="Done","Mastered",IF(M101&lt;&gt;"Done",L101,IF(O101&lt;&gt;"Done",N101,P101))))</f>
        <v/>
      </c>
      <c r="S101" s="25" t="str">
        <f aca="true">IF(H101="","Not started",IF(Q101="Done","Mastered",IF(OR(M101="Redo",O101="Redo",Q101="Redo"),"Redo",IF(R101&lt;=TODAY(),"Re-solve due","In progress"))))</f>
        <v>Not started</v>
      </c>
    </row>
    <row r="102" customFormat="false" ht="15" hidden="false" customHeight="false" outlineLevel="0" collapsed="false">
      <c r="A102" s="25" t="n">
        <v>8</v>
      </c>
      <c r="B102" s="26" t="s">
        <v>72</v>
      </c>
      <c r="C102" s="25" t="n">
        <v>207</v>
      </c>
      <c r="D102" s="27" t="s">
        <v>201</v>
      </c>
      <c r="E102" s="25" t="s">
        <v>63</v>
      </c>
      <c r="F102" s="28"/>
      <c r="G102" s="29" t="s">
        <v>92</v>
      </c>
      <c r="H102" s="22"/>
      <c r="I102" s="23"/>
      <c r="J102" s="23"/>
      <c r="K102" s="23"/>
      <c r="L102" s="30" t="str">
        <f aca="false">IF(H102="","",H102+2)</f>
        <v/>
      </c>
      <c r="M102" s="7"/>
      <c r="N102" s="30" t="str">
        <f aca="false">IF(H102="","",H102+6)</f>
        <v/>
      </c>
      <c r="O102" s="7"/>
      <c r="P102" s="30" t="str">
        <f aca="false">IF(H102="","",H102+29)</f>
        <v/>
      </c>
      <c r="Q102" s="7"/>
      <c r="R102" s="30" t="str">
        <f aca="false">IF(H102="","",IF(Q102="Done","Mastered",IF(M102&lt;&gt;"Done",L102,IF(O102&lt;&gt;"Done",N102,P102))))</f>
        <v/>
      </c>
      <c r="S102" s="25" t="str">
        <f aca="true">IF(H102="","Not started",IF(Q102="Done","Mastered",IF(OR(M102="Redo",O102="Redo",Q102="Redo"),"Redo",IF(R102&lt;=TODAY(),"Re-solve due","In progress"))))</f>
        <v>Not started</v>
      </c>
    </row>
    <row r="103" customFormat="false" ht="15" hidden="false" customHeight="false" outlineLevel="0" collapsed="false">
      <c r="A103" s="25" t="n">
        <v>8</v>
      </c>
      <c r="B103" s="26" t="s">
        <v>72</v>
      </c>
      <c r="C103" s="25" t="n">
        <v>210</v>
      </c>
      <c r="D103" s="27" t="s">
        <v>202</v>
      </c>
      <c r="E103" s="25" t="s">
        <v>63</v>
      </c>
      <c r="F103" s="28"/>
      <c r="G103" s="29" t="s">
        <v>92</v>
      </c>
      <c r="H103" s="22"/>
      <c r="I103" s="23"/>
      <c r="J103" s="23"/>
      <c r="K103" s="23"/>
      <c r="L103" s="30" t="str">
        <f aca="false">IF(H103="","",H103+2)</f>
        <v/>
      </c>
      <c r="M103" s="7"/>
      <c r="N103" s="30" t="str">
        <f aca="false">IF(H103="","",H103+6)</f>
        <v/>
      </c>
      <c r="O103" s="7"/>
      <c r="P103" s="30" t="str">
        <f aca="false">IF(H103="","",H103+29)</f>
        <v/>
      </c>
      <c r="Q103" s="7"/>
      <c r="R103" s="30" t="str">
        <f aca="false">IF(H103="","",IF(Q103="Done","Mastered",IF(M103&lt;&gt;"Done",L103,IF(O103&lt;&gt;"Done",N103,P103))))</f>
        <v/>
      </c>
      <c r="S103" s="25" t="str">
        <f aca="true">IF(H103="","Not started",IF(Q103="Done","Mastered",IF(OR(M103="Redo",O103="Redo",Q103="Redo"),"Redo",IF(R103&lt;=TODAY(),"Re-solve due","In progress"))))</f>
        <v>Not started</v>
      </c>
    </row>
    <row r="104" customFormat="false" ht="15" hidden="false" customHeight="false" outlineLevel="0" collapsed="false">
      <c r="A104" s="25" t="n">
        <v>8</v>
      </c>
      <c r="B104" s="26" t="s">
        <v>72</v>
      </c>
      <c r="C104" s="25" t="n">
        <v>684</v>
      </c>
      <c r="D104" s="27" t="s">
        <v>203</v>
      </c>
      <c r="E104" s="25" t="s">
        <v>63</v>
      </c>
      <c r="F104" s="28"/>
      <c r="G104" s="29" t="s">
        <v>92</v>
      </c>
      <c r="H104" s="22"/>
      <c r="I104" s="23"/>
      <c r="J104" s="23"/>
      <c r="K104" s="23"/>
      <c r="L104" s="30" t="str">
        <f aca="false">IF(H104="","",H104+2)</f>
        <v/>
      </c>
      <c r="M104" s="7"/>
      <c r="N104" s="30" t="str">
        <f aca="false">IF(H104="","",H104+6)</f>
        <v/>
      </c>
      <c r="O104" s="7"/>
      <c r="P104" s="30" t="str">
        <f aca="false">IF(H104="","",H104+29)</f>
        <v/>
      </c>
      <c r="Q104" s="7"/>
      <c r="R104" s="30" t="str">
        <f aca="false">IF(H104="","",IF(Q104="Done","Mastered",IF(M104&lt;&gt;"Done",L104,IF(O104&lt;&gt;"Done",N104,P104))))</f>
        <v/>
      </c>
      <c r="S104" s="25" t="str">
        <f aca="true">IF(H104="","Not started",IF(Q104="Done","Mastered",IF(OR(M104="Redo",O104="Redo",Q104="Redo"),"Redo",IF(R104&lt;=TODAY(),"Re-solve due","In progress"))))</f>
        <v>Not started</v>
      </c>
    </row>
    <row r="105" customFormat="false" ht="15" hidden="false" customHeight="false" outlineLevel="0" collapsed="false">
      <c r="A105" s="25" t="n">
        <v>8</v>
      </c>
      <c r="B105" s="26" t="s">
        <v>72</v>
      </c>
      <c r="C105" s="25" t="n">
        <v>323</v>
      </c>
      <c r="D105" s="27" t="s">
        <v>204</v>
      </c>
      <c r="E105" s="25" t="s">
        <v>63</v>
      </c>
      <c r="F105" s="29" t="s">
        <v>100</v>
      </c>
      <c r="G105" s="29" t="s">
        <v>92</v>
      </c>
      <c r="H105" s="22"/>
      <c r="I105" s="23"/>
      <c r="J105" s="23"/>
      <c r="K105" s="23"/>
      <c r="L105" s="30" t="str">
        <f aca="false">IF(H105="","",H105+2)</f>
        <v/>
      </c>
      <c r="M105" s="7"/>
      <c r="N105" s="30" t="str">
        <f aca="false">IF(H105="","",H105+6)</f>
        <v/>
      </c>
      <c r="O105" s="7"/>
      <c r="P105" s="30" t="str">
        <f aca="false">IF(H105="","",H105+29)</f>
        <v/>
      </c>
      <c r="Q105" s="7"/>
      <c r="R105" s="30" t="str">
        <f aca="false">IF(H105="","",IF(Q105="Done","Mastered",IF(M105&lt;&gt;"Done",L105,IF(O105&lt;&gt;"Done",N105,P105))))</f>
        <v/>
      </c>
      <c r="S105" s="25" t="str">
        <f aca="true">IF(H105="","Not started",IF(Q105="Done","Mastered",IF(OR(M105="Redo",O105="Redo",Q105="Redo"),"Redo",IF(R105&lt;=TODAY(),"Re-solve due","In progress"))))</f>
        <v>Not started</v>
      </c>
    </row>
    <row r="106" customFormat="false" ht="15" hidden="false" customHeight="false" outlineLevel="0" collapsed="false">
      <c r="A106" s="25" t="n">
        <v>8</v>
      </c>
      <c r="B106" s="26" t="s">
        <v>72</v>
      </c>
      <c r="C106" s="25" t="n">
        <v>261</v>
      </c>
      <c r="D106" s="27" t="s">
        <v>205</v>
      </c>
      <c r="E106" s="25" t="s">
        <v>63</v>
      </c>
      <c r="F106" s="29" t="s">
        <v>100</v>
      </c>
      <c r="G106" s="29" t="s">
        <v>92</v>
      </c>
      <c r="H106" s="22"/>
      <c r="I106" s="23"/>
      <c r="J106" s="23"/>
      <c r="K106" s="23"/>
      <c r="L106" s="30" t="str">
        <f aca="false">IF(H106="","",H106+2)</f>
        <v/>
      </c>
      <c r="M106" s="7"/>
      <c r="N106" s="30" t="str">
        <f aca="false">IF(H106="","",H106+6)</f>
        <v/>
      </c>
      <c r="O106" s="7"/>
      <c r="P106" s="30" t="str">
        <f aca="false">IF(H106="","",H106+29)</f>
        <v/>
      </c>
      <c r="Q106" s="7"/>
      <c r="R106" s="30" t="str">
        <f aca="false">IF(H106="","",IF(Q106="Done","Mastered",IF(M106&lt;&gt;"Done",L106,IF(O106&lt;&gt;"Done",N106,P106))))</f>
        <v/>
      </c>
      <c r="S106" s="25" t="str">
        <f aca="true">IF(H106="","Not started",IF(Q106="Done","Mastered",IF(OR(M106="Redo",O106="Redo",Q106="Redo"),"Redo",IF(R106&lt;=TODAY(),"Re-solve due","In progress"))))</f>
        <v>Not started</v>
      </c>
    </row>
    <row r="107" customFormat="false" ht="15" hidden="false" customHeight="false" outlineLevel="0" collapsed="false">
      <c r="A107" s="25" t="n">
        <v>8</v>
      </c>
      <c r="B107" s="26" t="s">
        <v>72</v>
      </c>
      <c r="C107" s="25" t="n">
        <v>127</v>
      </c>
      <c r="D107" s="27" t="s">
        <v>206</v>
      </c>
      <c r="E107" s="25" t="s">
        <v>64</v>
      </c>
      <c r="F107" s="28"/>
      <c r="G107" s="29" t="s">
        <v>92</v>
      </c>
      <c r="H107" s="22"/>
      <c r="I107" s="23"/>
      <c r="J107" s="23"/>
      <c r="K107" s="23"/>
      <c r="L107" s="30" t="str">
        <f aca="false">IF(H107="","",H107+2)</f>
        <v/>
      </c>
      <c r="M107" s="7"/>
      <c r="N107" s="30" t="str">
        <f aca="false">IF(H107="","",H107+6)</f>
        <v/>
      </c>
      <c r="O107" s="7"/>
      <c r="P107" s="30" t="str">
        <f aca="false">IF(H107="","",H107+29)</f>
        <v/>
      </c>
      <c r="Q107" s="7"/>
      <c r="R107" s="30" t="str">
        <f aca="false">IF(H107="","",IF(Q107="Done","Mastered",IF(M107&lt;&gt;"Done",L107,IF(O107&lt;&gt;"Done",N107,P107))))</f>
        <v/>
      </c>
      <c r="S107" s="25" t="str">
        <f aca="true">IF(H107="","Not started",IF(Q107="Done","Mastered",IF(OR(M107="Redo",O107="Redo",Q107="Redo"),"Redo",IF(R107&lt;=TODAY(),"Re-solve due","In progress"))))</f>
        <v>Not started</v>
      </c>
    </row>
    <row r="108" customFormat="false" ht="15" hidden="false" customHeight="false" outlineLevel="0" collapsed="false">
      <c r="A108" s="17" t="n">
        <v>9</v>
      </c>
      <c r="B108" s="18" t="s">
        <v>207</v>
      </c>
      <c r="C108" s="17" t="n">
        <v>1584</v>
      </c>
      <c r="D108" s="19" t="s">
        <v>208</v>
      </c>
      <c r="E108" s="17" t="s">
        <v>63</v>
      </c>
      <c r="F108" s="20"/>
      <c r="G108" s="21" t="s">
        <v>92</v>
      </c>
      <c r="H108" s="22"/>
      <c r="I108" s="23"/>
      <c r="J108" s="23"/>
      <c r="K108" s="23"/>
      <c r="L108" s="24" t="str">
        <f aca="false">IF(H108="","",H108+2)</f>
        <v/>
      </c>
      <c r="M108" s="7"/>
      <c r="N108" s="24" t="str">
        <f aca="false">IF(H108="","",H108+6)</f>
        <v/>
      </c>
      <c r="O108" s="7"/>
      <c r="P108" s="24" t="str">
        <f aca="false">IF(H108="","",H108+29)</f>
        <v/>
      </c>
      <c r="Q108" s="7"/>
      <c r="R108" s="24" t="str">
        <f aca="false">IF(H108="","",IF(Q108="Done","Mastered",IF(M108&lt;&gt;"Done",L108,IF(O108&lt;&gt;"Done",N108,P108))))</f>
        <v/>
      </c>
      <c r="S108" s="17" t="str">
        <f aca="true">IF(H108="","Not started",IF(Q108="Done","Mastered",IF(OR(M108="Redo",O108="Redo",Q108="Redo"),"Redo",IF(R108&lt;=TODAY(),"Re-solve due","In progress"))))</f>
        <v>Not started</v>
      </c>
    </row>
    <row r="109" customFormat="false" ht="15" hidden="false" customHeight="false" outlineLevel="0" collapsed="false">
      <c r="A109" s="17" t="n">
        <v>9</v>
      </c>
      <c r="B109" s="18" t="s">
        <v>207</v>
      </c>
      <c r="C109" s="17" t="n">
        <v>743</v>
      </c>
      <c r="D109" s="19" t="s">
        <v>209</v>
      </c>
      <c r="E109" s="17" t="s">
        <v>63</v>
      </c>
      <c r="F109" s="20"/>
      <c r="G109" s="21" t="s">
        <v>92</v>
      </c>
      <c r="H109" s="22"/>
      <c r="I109" s="23"/>
      <c r="J109" s="23"/>
      <c r="K109" s="23"/>
      <c r="L109" s="24" t="str">
        <f aca="false">IF(H109="","",H109+2)</f>
        <v/>
      </c>
      <c r="M109" s="7"/>
      <c r="N109" s="24" t="str">
        <f aca="false">IF(H109="","",H109+6)</f>
        <v/>
      </c>
      <c r="O109" s="7"/>
      <c r="P109" s="24" t="str">
        <f aca="false">IF(H109="","",H109+29)</f>
        <v/>
      </c>
      <c r="Q109" s="7"/>
      <c r="R109" s="24" t="str">
        <f aca="false">IF(H109="","",IF(Q109="Done","Mastered",IF(M109&lt;&gt;"Done",L109,IF(O109&lt;&gt;"Done",N109,P109))))</f>
        <v/>
      </c>
      <c r="S109" s="17" t="str">
        <f aca="true">IF(H109="","Not started",IF(Q109="Done","Mastered",IF(OR(M109="Redo",O109="Redo",Q109="Redo"),"Redo",IF(R109&lt;=TODAY(),"Re-solve due","In progress"))))</f>
        <v>Not started</v>
      </c>
    </row>
    <row r="110" customFormat="false" ht="15" hidden="false" customHeight="false" outlineLevel="0" collapsed="false">
      <c r="A110" s="17" t="n">
        <v>9</v>
      </c>
      <c r="B110" s="18" t="s">
        <v>207</v>
      </c>
      <c r="C110" s="17" t="n">
        <v>787</v>
      </c>
      <c r="D110" s="19" t="s">
        <v>210</v>
      </c>
      <c r="E110" s="17" t="s">
        <v>63</v>
      </c>
      <c r="F110" s="20"/>
      <c r="G110" s="21" t="s">
        <v>92</v>
      </c>
      <c r="H110" s="22"/>
      <c r="I110" s="23"/>
      <c r="J110" s="23"/>
      <c r="K110" s="23"/>
      <c r="L110" s="24" t="str">
        <f aca="false">IF(H110="","",H110+2)</f>
        <v/>
      </c>
      <c r="M110" s="7"/>
      <c r="N110" s="24" t="str">
        <f aca="false">IF(H110="","",H110+6)</f>
        <v/>
      </c>
      <c r="O110" s="7"/>
      <c r="P110" s="24" t="str">
        <f aca="false">IF(H110="","",H110+29)</f>
        <v/>
      </c>
      <c r="Q110" s="7"/>
      <c r="R110" s="24" t="str">
        <f aca="false">IF(H110="","",IF(Q110="Done","Mastered",IF(M110&lt;&gt;"Done",L110,IF(O110&lt;&gt;"Done",N110,P110))))</f>
        <v/>
      </c>
      <c r="S110" s="17" t="str">
        <f aca="true">IF(H110="","Not started",IF(Q110="Done","Mastered",IF(OR(M110="Redo",O110="Redo",Q110="Redo"),"Redo",IF(R110&lt;=TODAY(),"Re-solve due","In progress"))))</f>
        <v>Not started</v>
      </c>
    </row>
    <row r="111" customFormat="false" ht="15" hidden="false" customHeight="false" outlineLevel="0" collapsed="false">
      <c r="A111" s="17" t="n">
        <v>9</v>
      </c>
      <c r="B111" s="18" t="s">
        <v>207</v>
      </c>
      <c r="C111" s="17" t="n">
        <v>332</v>
      </c>
      <c r="D111" s="19" t="s">
        <v>211</v>
      </c>
      <c r="E111" s="17" t="s">
        <v>64</v>
      </c>
      <c r="F111" s="20"/>
      <c r="G111" s="21" t="s">
        <v>92</v>
      </c>
      <c r="H111" s="22"/>
      <c r="I111" s="23"/>
      <c r="J111" s="23"/>
      <c r="K111" s="23"/>
      <c r="L111" s="24" t="str">
        <f aca="false">IF(H111="","",H111+2)</f>
        <v/>
      </c>
      <c r="M111" s="7"/>
      <c r="N111" s="24" t="str">
        <f aca="false">IF(H111="","",H111+6)</f>
        <v/>
      </c>
      <c r="O111" s="7"/>
      <c r="P111" s="24" t="str">
        <f aca="false">IF(H111="","",H111+29)</f>
        <v/>
      </c>
      <c r="Q111" s="7"/>
      <c r="R111" s="24" t="str">
        <f aca="false">IF(H111="","",IF(Q111="Done","Mastered",IF(M111&lt;&gt;"Done",L111,IF(O111&lt;&gt;"Done",N111,P111))))</f>
        <v/>
      </c>
      <c r="S111" s="17" t="str">
        <f aca="true">IF(H111="","Not started",IF(Q111="Done","Mastered",IF(OR(M111="Redo",O111="Redo",Q111="Redo"),"Redo",IF(R111&lt;=TODAY(),"Re-solve due","In progress"))))</f>
        <v>Not started</v>
      </c>
    </row>
    <row r="112" customFormat="false" ht="15" hidden="false" customHeight="false" outlineLevel="0" collapsed="false">
      <c r="A112" s="17" t="n">
        <v>9</v>
      </c>
      <c r="B112" s="18" t="s">
        <v>207</v>
      </c>
      <c r="C112" s="17" t="n">
        <v>778</v>
      </c>
      <c r="D112" s="19" t="s">
        <v>212</v>
      </c>
      <c r="E112" s="17" t="s">
        <v>64</v>
      </c>
      <c r="F112" s="20"/>
      <c r="G112" s="21" t="s">
        <v>92</v>
      </c>
      <c r="H112" s="22"/>
      <c r="I112" s="23"/>
      <c r="J112" s="23"/>
      <c r="K112" s="23"/>
      <c r="L112" s="24" t="str">
        <f aca="false">IF(H112="","",H112+2)</f>
        <v/>
      </c>
      <c r="M112" s="7"/>
      <c r="N112" s="24" t="str">
        <f aca="false">IF(H112="","",H112+6)</f>
        <v/>
      </c>
      <c r="O112" s="7"/>
      <c r="P112" s="24" t="str">
        <f aca="false">IF(H112="","",H112+29)</f>
        <v/>
      </c>
      <c r="Q112" s="7"/>
      <c r="R112" s="24" t="str">
        <f aca="false">IF(H112="","",IF(Q112="Done","Mastered",IF(M112&lt;&gt;"Done",L112,IF(O112&lt;&gt;"Done",N112,P112))))</f>
        <v/>
      </c>
      <c r="S112" s="17" t="str">
        <f aca="true">IF(H112="","Not started",IF(Q112="Done","Mastered",IF(OR(M112="Redo",O112="Redo",Q112="Redo"),"Redo",IF(R112&lt;=TODAY(),"Re-solve due","In progress"))))</f>
        <v>Not started</v>
      </c>
    </row>
    <row r="113" customFormat="false" ht="15" hidden="false" customHeight="false" outlineLevel="0" collapsed="false">
      <c r="A113" s="17" t="n">
        <v>9</v>
      </c>
      <c r="B113" s="18" t="s">
        <v>207</v>
      </c>
      <c r="C113" s="17" t="n">
        <v>269</v>
      </c>
      <c r="D113" s="19" t="s">
        <v>213</v>
      </c>
      <c r="E113" s="17" t="s">
        <v>64</v>
      </c>
      <c r="F113" s="21" t="s">
        <v>100</v>
      </c>
      <c r="G113" s="21" t="s">
        <v>92</v>
      </c>
      <c r="H113" s="22"/>
      <c r="I113" s="23"/>
      <c r="J113" s="23"/>
      <c r="K113" s="23"/>
      <c r="L113" s="24" t="str">
        <f aca="false">IF(H113="","",H113+2)</f>
        <v/>
      </c>
      <c r="M113" s="7"/>
      <c r="N113" s="24" t="str">
        <f aca="false">IF(H113="","",H113+6)</f>
        <v/>
      </c>
      <c r="O113" s="7"/>
      <c r="P113" s="24" t="str">
        <f aca="false">IF(H113="","",H113+29)</f>
        <v/>
      </c>
      <c r="Q113" s="7"/>
      <c r="R113" s="24" t="str">
        <f aca="false">IF(H113="","",IF(Q113="Done","Mastered",IF(M113&lt;&gt;"Done",L113,IF(O113&lt;&gt;"Done",N113,P113))))</f>
        <v/>
      </c>
      <c r="S113" s="17" t="str">
        <f aca="true">IF(H113="","Not started",IF(Q113="Done","Mastered",IF(OR(M113="Redo",O113="Redo",Q113="Redo"),"Redo",IF(R113&lt;=TODAY(),"Re-solve due","In progress"))))</f>
        <v>Not started</v>
      </c>
    </row>
    <row r="114" customFormat="false" ht="15" hidden="false" customHeight="false" outlineLevel="0" collapsed="false">
      <c r="A114" s="17" t="n">
        <v>9</v>
      </c>
      <c r="B114" s="18" t="s">
        <v>214</v>
      </c>
      <c r="C114" s="17" t="n">
        <v>202</v>
      </c>
      <c r="D114" s="19" t="s">
        <v>215</v>
      </c>
      <c r="E114" s="17" t="s">
        <v>62</v>
      </c>
      <c r="F114" s="20"/>
      <c r="G114" s="21" t="s">
        <v>92</v>
      </c>
      <c r="H114" s="22"/>
      <c r="I114" s="23"/>
      <c r="J114" s="23"/>
      <c r="K114" s="23"/>
      <c r="L114" s="24" t="str">
        <f aca="false">IF(H114="","",H114+2)</f>
        <v/>
      </c>
      <c r="M114" s="7"/>
      <c r="N114" s="24" t="str">
        <f aca="false">IF(H114="","",H114+6)</f>
        <v/>
      </c>
      <c r="O114" s="7"/>
      <c r="P114" s="24" t="str">
        <f aca="false">IF(H114="","",H114+29)</f>
        <v/>
      </c>
      <c r="Q114" s="7"/>
      <c r="R114" s="24" t="str">
        <f aca="false">IF(H114="","",IF(Q114="Done","Mastered",IF(M114&lt;&gt;"Done",L114,IF(O114&lt;&gt;"Done",N114,P114))))</f>
        <v/>
      </c>
      <c r="S114" s="17" t="str">
        <f aca="true">IF(H114="","Not started",IF(Q114="Done","Mastered",IF(OR(M114="Redo",O114="Redo",Q114="Redo"),"Redo",IF(R114&lt;=TODAY(),"Re-solve due","In progress"))))</f>
        <v>Not started</v>
      </c>
    </row>
    <row r="115" customFormat="false" ht="15" hidden="false" customHeight="false" outlineLevel="0" collapsed="false">
      <c r="A115" s="17" t="n">
        <v>9</v>
      </c>
      <c r="B115" s="18" t="s">
        <v>214</v>
      </c>
      <c r="C115" s="17" t="n">
        <v>66</v>
      </c>
      <c r="D115" s="19" t="s">
        <v>216</v>
      </c>
      <c r="E115" s="17" t="s">
        <v>62</v>
      </c>
      <c r="F115" s="20"/>
      <c r="G115" s="21" t="s">
        <v>92</v>
      </c>
      <c r="H115" s="22"/>
      <c r="I115" s="23"/>
      <c r="J115" s="23"/>
      <c r="K115" s="23"/>
      <c r="L115" s="24" t="str">
        <f aca="false">IF(H115="","",H115+2)</f>
        <v/>
      </c>
      <c r="M115" s="7"/>
      <c r="N115" s="24" t="str">
        <f aca="false">IF(H115="","",H115+6)</f>
        <v/>
      </c>
      <c r="O115" s="7"/>
      <c r="P115" s="24" t="str">
        <f aca="false">IF(H115="","",H115+29)</f>
        <v/>
      </c>
      <c r="Q115" s="7"/>
      <c r="R115" s="24" t="str">
        <f aca="false">IF(H115="","",IF(Q115="Done","Mastered",IF(M115&lt;&gt;"Done",L115,IF(O115&lt;&gt;"Done",N115,P115))))</f>
        <v/>
      </c>
      <c r="S115" s="17" t="str">
        <f aca="true">IF(H115="","Not started",IF(Q115="Done","Mastered",IF(OR(M115="Redo",O115="Redo",Q115="Redo"),"Redo",IF(R115&lt;=TODAY(),"Re-solve due","In progress"))))</f>
        <v>Not started</v>
      </c>
    </row>
    <row r="116" customFormat="false" ht="15" hidden="false" customHeight="false" outlineLevel="0" collapsed="false">
      <c r="A116" s="17" t="n">
        <v>9</v>
      </c>
      <c r="B116" s="18" t="s">
        <v>214</v>
      </c>
      <c r="C116" s="17" t="n">
        <v>48</v>
      </c>
      <c r="D116" s="19" t="s">
        <v>217</v>
      </c>
      <c r="E116" s="17" t="s">
        <v>63</v>
      </c>
      <c r="F116" s="20"/>
      <c r="G116" s="21" t="s">
        <v>92</v>
      </c>
      <c r="H116" s="22"/>
      <c r="I116" s="23"/>
      <c r="J116" s="23"/>
      <c r="K116" s="23"/>
      <c r="L116" s="24" t="str">
        <f aca="false">IF(H116="","",H116+2)</f>
        <v/>
      </c>
      <c r="M116" s="7"/>
      <c r="N116" s="24" t="str">
        <f aca="false">IF(H116="","",H116+6)</f>
        <v/>
      </c>
      <c r="O116" s="7"/>
      <c r="P116" s="24" t="str">
        <f aca="false">IF(H116="","",H116+29)</f>
        <v/>
      </c>
      <c r="Q116" s="7"/>
      <c r="R116" s="24" t="str">
        <f aca="false">IF(H116="","",IF(Q116="Done","Mastered",IF(M116&lt;&gt;"Done",L116,IF(O116&lt;&gt;"Done",N116,P116))))</f>
        <v/>
      </c>
      <c r="S116" s="17" t="str">
        <f aca="true">IF(H116="","Not started",IF(Q116="Done","Mastered",IF(OR(M116="Redo",O116="Redo",Q116="Redo"),"Redo",IF(R116&lt;=TODAY(),"Re-solve due","In progress"))))</f>
        <v>Not started</v>
      </c>
    </row>
    <row r="117" customFormat="false" ht="15" hidden="false" customHeight="false" outlineLevel="0" collapsed="false">
      <c r="A117" s="17" t="n">
        <v>9</v>
      </c>
      <c r="B117" s="18" t="s">
        <v>214</v>
      </c>
      <c r="C117" s="17" t="n">
        <v>54</v>
      </c>
      <c r="D117" s="19" t="s">
        <v>218</v>
      </c>
      <c r="E117" s="17" t="s">
        <v>63</v>
      </c>
      <c r="F117" s="20"/>
      <c r="G117" s="21" t="s">
        <v>92</v>
      </c>
      <c r="H117" s="22"/>
      <c r="I117" s="23"/>
      <c r="J117" s="23"/>
      <c r="K117" s="23"/>
      <c r="L117" s="24" t="str">
        <f aca="false">IF(H117="","",H117+2)</f>
        <v/>
      </c>
      <c r="M117" s="7"/>
      <c r="N117" s="24" t="str">
        <f aca="false">IF(H117="","",H117+6)</f>
        <v/>
      </c>
      <c r="O117" s="7"/>
      <c r="P117" s="24" t="str">
        <f aca="false">IF(H117="","",H117+29)</f>
        <v/>
      </c>
      <c r="Q117" s="7"/>
      <c r="R117" s="24" t="str">
        <f aca="false">IF(H117="","",IF(Q117="Done","Mastered",IF(M117&lt;&gt;"Done",L117,IF(O117&lt;&gt;"Done",N117,P117))))</f>
        <v/>
      </c>
      <c r="S117" s="17" t="str">
        <f aca="true">IF(H117="","Not started",IF(Q117="Done","Mastered",IF(OR(M117="Redo",O117="Redo",Q117="Redo"),"Redo",IF(R117&lt;=TODAY(),"Re-solve due","In progress"))))</f>
        <v>Not started</v>
      </c>
    </row>
    <row r="118" customFormat="false" ht="15" hidden="false" customHeight="false" outlineLevel="0" collapsed="false">
      <c r="A118" s="17" t="n">
        <v>9</v>
      </c>
      <c r="B118" s="18" t="s">
        <v>214</v>
      </c>
      <c r="C118" s="17" t="n">
        <v>73</v>
      </c>
      <c r="D118" s="19" t="s">
        <v>219</v>
      </c>
      <c r="E118" s="17" t="s">
        <v>63</v>
      </c>
      <c r="F118" s="20"/>
      <c r="G118" s="21" t="s">
        <v>92</v>
      </c>
      <c r="H118" s="22"/>
      <c r="I118" s="23"/>
      <c r="J118" s="23"/>
      <c r="K118" s="23"/>
      <c r="L118" s="24" t="str">
        <f aca="false">IF(H118="","",H118+2)</f>
        <v/>
      </c>
      <c r="M118" s="7"/>
      <c r="N118" s="24" t="str">
        <f aca="false">IF(H118="","",H118+6)</f>
        <v/>
      </c>
      <c r="O118" s="7"/>
      <c r="P118" s="24" t="str">
        <f aca="false">IF(H118="","",H118+29)</f>
        <v/>
      </c>
      <c r="Q118" s="7"/>
      <c r="R118" s="24" t="str">
        <f aca="false">IF(H118="","",IF(Q118="Done","Mastered",IF(M118&lt;&gt;"Done",L118,IF(O118&lt;&gt;"Done",N118,P118))))</f>
        <v/>
      </c>
      <c r="S118" s="17" t="str">
        <f aca="true">IF(H118="","Not started",IF(Q118="Done","Mastered",IF(OR(M118="Redo",O118="Redo",Q118="Redo"),"Redo",IF(R118&lt;=TODAY(),"Re-solve due","In progress"))))</f>
        <v>Not started</v>
      </c>
    </row>
    <row r="119" customFormat="false" ht="15" hidden="false" customHeight="false" outlineLevel="0" collapsed="false">
      <c r="A119" s="17" t="n">
        <v>9</v>
      </c>
      <c r="B119" s="18" t="s">
        <v>214</v>
      </c>
      <c r="C119" s="17" t="n">
        <v>50</v>
      </c>
      <c r="D119" s="19" t="s">
        <v>220</v>
      </c>
      <c r="E119" s="17" t="s">
        <v>63</v>
      </c>
      <c r="F119" s="20"/>
      <c r="G119" s="21" t="s">
        <v>92</v>
      </c>
      <c r="H119" s="22"/>
      <c r="I119" s="23"/>
      <c r="J119" s="23"/>
      <c r="K119" s="23"/>
      <c r="L119" s="24" t="str">
        <f aca="false">IF(H119="","",H119+2)</f>
        <v/>
      </c>
      <c r="M119" s="7"/>
      <c r="N119" s="24" t="str">
        <f aca="false">IF(H119="","",H119+6)</f>
        <v/>
      </c>
      <c r="O119" s="7"/>
      <c r="P119" s="24" t="str">
        <f aca="false">IF(H119="","",H119+29)</f>
        <v/>
      </c>
      <c r="Q119" s="7"/>
      <c r="R119" s="24" t="str">
        <f aca="false">IF(H119="","",IF(Q119="Done","Mastered",IF(M119&lt;&gt;"Done",L119,IF(O119&lt;&gt;"Done",N119,P119))))</f>
        <v/>
      </c>
      <c r="S119" s="17" t="str">
        <f aca="true">IF(H119="","Not started",IF(Q119="Done","Mastered",IF(OR(M119="Redo",O119="Redo",Q119="Redo"),"Redo",IF(R119&lt;=TODAY(),"Re-solve due","In progress"))))</f>
        <v>Not started</v>
      </c>
    </row>
    <row r="120" customFormat="false" ht="15" hidden="false" customHeight="false" outlineLevel="0" collapsed="false">
      <c r="A120" s="17" t="n">
        <v>9</v>
      </c>
      <c r="B120" s="18" t="s">
        <v>214</v>
      </c>
      <c r="C120" s="17" t="n">
        <v>43</v>
      </c>
      <c r="D120" s="19" t="s">
        <v>221</v>
      </c>
      <c r="E120" s="17" t="s">
        <v>63</v>
      </c>
      <c r="F120" s="20"/>
      <c r="G120" s="21" t="s">
        <v>92</v>
      </c>
      <c r="H120" s="22"/>
      <c r="I120" s="23"/>
      <c r="J120" s="23"/>
      <c r="K120" s="23"/>
      <c r="L120" s="24" t="str">
        <f aca="false">IF(H120="","",H120+2)</f>
        <v/>
      </c>
      <c r="M120" s="7"/>
      <c r="N120" s="24" t="str">
        <f aca="false">IF(H120="","",H120+6)</f>
        <v/>
      </c>
      <c r="O120" s="7"/>
      <c r="P120" s="24" t="str">
        <f aca="false">IF(H120="","",H120+29)</f>
        <v/>
      </c>
      <c r="Q120" s="7"/>
      <c r="R120" s="24" t="str">
        <f aca="false">IF(H120="","",IF(Q120="Done","Mastered",IF(M120&lt;&gt;"Done",L120,IF(O120&lt;&gt;"Done",N120,P120))))</f>
        <v/>
      </c>
      <c r="S120" s="17" t="str">
        <f aca="true">IF(H120="","Not started",IF(Q120="Done","Mastered",IF(OR(M120="Redo",O120="Redo",Q120="Redo"),"Redo",IF(R120&lt;=TODAY(),"Re-solve due","In progress"))))</f>
        <v>Not started</v>
      </c>
    </row>
    <row r="121" customFormat="false" ht="15" hidden="false" customHeight="false" outlineLevel="0" collapsed="false">
      <c r="A121" s="17" t="n">
        <v>9</v>
      </c>
      <c r="B121" s="18" t="s">
        <v>214</v>
      </c>
      <c r="C121" s="17" t="n">
        <v>2013</v>
      </c>
      <c r="D121" s="19" t="s">
        <v>222</v>
      </c>
      <c r="E121" s="17" t="s">
        <v>63</v>
      </c>
      <c r="F121" s="20"/>
      <c r="G121" s="21" t="s">
        <v>92</v>
      </c>
      <c r="H121" s="22"/>
      <c r="I121" s="23"/>
      <c r="J121" s="23"/>
      <c r="K121" s="23"/>
      <c r="L121" s="24" t="str">
        <f aca="false">IF(H121="","",H121+2)</f>
        <v/>
      </c>
      <c r="M121" s="7"/>
      <c r="N121" s="24" t="str">
        <f aca="false">IF(H121="","",H121+6)</f>
        <v/>
      </c>
      <c r="O121" s="7"/>
      <c r="P121" s="24" t="str">
        <f aca="false">IF(H121="","",H121+29)</f>
        <v/>
      </c>
      <c r="Q121" s="7"/>
      <c r="R121" s="24" t="str">
        <f aca="false">IF(H121="","",IF(Q121="Done","Mastered",IF(M121&lt;&gt;"Done",L121,IF(O121&lt;&gt;"Done",N121,P121))))</f>
        <v/>
      </c>
      <c r="S121" s="17" t="str">
        <f aca="true">IF(H121="","Not started",IF(Q121="Done","Mastered",IF(OR(M121="Redo",O121="Redo",Q121="Redo"),"Redo",IF(R121&lt;=TODAY(),"Re-solve due","In progress"))))</f>
        <v>Not started</v>
      </c>
    </row>
    <row r="122" customFormat="false" ht="23.85" hidden="false" customHeight="false" outlineLevel="0" collapsed="false">
      <c r="A122" s="25" t="n">
        <v>10</v>
      </c>
      <c r="B122" s="26" t="s">
        <v>74</v>
      </c>
      <c r="C122" s="25" t="n">
        <v>70</v>
      </c>
      <c r="D122" s="27" t="s">
        <v>223</v>
      </c>
      <c r="E122" s="25" t="s">
        <v>62</v>
      </c>
      <c r="F122" s="28"/>
      <c r="G122" s="29" t="s">
        <v>92</v>
      </c>
      <c r="H122" s="22"/>
      <c r="I122" s="23"/>
      <c r="J122" s="23"/>
      <c r="K122" s="23"/>
      <c r="L122" s="30" t="str">
        <f aca="false">IF(H122="","",H122+2)</f>
        <v/>
      </c>
      <c r="M122" s="7"/>
      <c r="N122" s="30" t="str">
        <f aca="false">IF(H122="","",H122+6)</f>
        <v/>
      </c>
      <c r="O122" s="7"/>
      <c r="P122" s="30" t="str">
        <f aca="false">IF(H122="","",H122+29)</f>
        <v/>
      </c>
      <c r="Q122" s="7"/>
      <c r="R122" s="30" t="str">
        <f aca="false">IF(H122="","",IF(Q122="Done","Mastered",IF(M122&lt;&gt;"Done",L122,IF(O122&lt;&gt;"Done",N122,P122))))</f>
        <v/>
      </c>
      <c r="S122" s="25" t="str">
        <f aca="true">IF(H122="","Not started",IF(Q122="Done","Mastered",IF(OR(M122="Redo",O122="Redo",Q122="Redo"),"Redo",IF(R122&lt;=TODAY(),"Re-solve due","In progress"))))</f>
        <v>Not started</v>
      </c>
    </row>
    <row r="123" customFormat="false" ht="23.85" hidden="false" customHeight="false" outlineLevel="0" collapsed="false">
      <c r="A123" s="25" t="n">
        <v>10</v>
      </c>
      <c r="B123" s="26" t="s">
        <v>74</v>
      </c>
      <c r="C123" s="25" t="n">
        <v>746</v>
      </c>
      <c r="D123" s="27" t="s">
        <v>224</v>
      </c>
      <c r="E123" s="25" t="s">
        <v>62</v>
      </c>
      <c r="F123" s="28"/>
      <c r="G123" s="29" t="s">
        <v>92</v>
      </c>
      <c r="H123" s="22"/>
      <c r="I123" s="23"/>
      <c r="J123" s="23"/>
      <c r="K123" s="23"/>
      <c r="L123" s="30" t="str">
        <f aca="false">IF(H123="","",H123+2)</f>
        <v/>
      </c>
      <c r="M123" s="7"/>
      <c r="N123" s="30" t="str">
        <f aca="false">IF(H123="","",H123+6)</f>
        <v/>
      </c>
      <c r="O123" s="7"/>
      <c r="P123" s="30" t="str">
        <f aca="false">IF(H123="","",H123+29)</f>
        <v/>
      </c>
      <c r="Q123" s="7"/>
      <c r="R123" s="30" t="str">
        <f aca="false">IF(H123="","",IF(Q123="Done","Mastered",IF(M123&lt;&gt;"Done",L123,IF(O123&lt;&gt;"Done",N123,P123))))</f>
        <v/>
      </c>
      <c r="S123" s="25" t="str">
        <f aca="true">IF(H123="","Not started",IF(Q123="Done","Mastered",IF(OR(M123="Redo",O123="Redo",Q123="Redo"),"Redo",IF(R123&lt;=TODAY(),"Re-solve due","In progress"))))</f>
        <v>Not started</v>
      </c>
    </row>
    <row r="124" customFormat="false" ht="23.85" hidden="false" customHeight="false" outlineLevel="0" collapsed="false">
      <c r="A124" s="25" t="n">
        <v>10</v>
      </c>
      <c r="B124" s="26" t="s">
        <v>74</v>
      </c>
      <c r="C124" s="25" t="n">
        <v>198</v>
      </c>
      <c r="D124" s="27" t="s">
        <v>225</v>
      </c>
      <c r="E124" s="25" t="s">
        <v>63</v>
      </c>
      <c r="F124" s="28"/>
      <c r="G124" s="29" t="s">
        <v>92</v>
      </c>
      <c r="H124" s="22"/>
      <c r="I124" s="23"/>
      <c r="J124" s="23"/>
      <c r="K124" s="23"/>
      <c r="L124" s="30" t="str">
        <f aca="false">IF(H124="","",H124+2)</f>
        <v/>
      </c>
      <c r="M124" s="7"/>
      <c r="N124" s="30" t="str">
        <f aca="false">IF(H124="","",H124+6)</f>
        <v/>
      </c>
      <c r="O124" s="7"/>
      <c r="P124" s="30" t="str">
        <f aca="false">IF(H124="","",H124+29)</f>
        <v/>
      </c>
      <c r="Q124" s="7"/>
      <c r="R124" s="30" t="str">
        <f aca="false">IF(H124="","",IF(Q124="Done","Mastered",IF(M124&lt;&gt;"Done",L124,IF(O124&lt;&gt;"Done",N124,P124))))</f>
        <v/>
      </c>
      <c r="S124" s="25" t="str">
        <f aca="true">IF(H124="","Not started",IF(Q124="Done","Mastered",IF(OR(M124="Redo",O124="Redo",Q124="Redo"),"Redo",IF(R124&lt;=TODAY(),"Re-solve due","In progress"))))</f>
        <v>Not started</v>
      </c>
    </row>
    <row r="125" customFormat="false" ht="23.85" hidden="false" customHeight="false" outlineLevel="0" collapsed="false">
      <c r="A125" s="25" t="n">
        <v>10</v>
      </c>
      <c r="B125" s="26" t="s">
        <v>74</v>
      </c>
      <c r="C125" s="25" t="n">
        <v>213</v>
      </c>
      <c r="D125" s="27" t="s">
        <v>226</v>
      </c>
      <c r="E125" s="25" t="s">
        <v>63</v>
      </c>
      <c r="F125" s="28"/>
      <c r="G125" s="29" t="s">
        <v>92</v>
      </c>
      <c r="H125" s="22"/>
      <c r="I125" s="23"/>
      <c r="J125" s="23"/>
      <c r="K125" s="23"/>
      <c r="L125" s="30" t="str">
        <f aca="false">IF(H125="","",H125+2)</f>
        <v/>
      </c>
      <c r="M125" s="7"/>
      <c r="N125" s="30" t="str">
        <f aca="false">IF(H125="","",H125+6)</f>
        <v/>
      </c>
      <c r="O125" s="7"/>
      <c r="P125" s="30" t="str">
        <f aca="false">IF(H125="","",H125+29)</f>
        <v/>
      </c>
      <c r="Q125" s="7"/>
      <c r="R125" s="30" t="str">
        <f aca="false">IF(H125="","",IF(Q125="Done","Mastered",IF(M125&lt;&gt;"Done",L125,IF(O125&lt;&gt;"Done",N125,P125))))</f>
        <v/>
      </c>
      <c r="S125" s="25" t="str">
        <f aca="true">IF(H125="","Not started",IF(Q125="Done","Mastered",IF(OR(M125="Redo",O125="Redo",Q125="Redo"),"Redo",IF(R125&lt;=TODAY(),"Re-solve due","In progress"))))</f>
        <v>Not started</v>
      </c>
    </row>
    <row r="126" customFormat="false" ht="23.85" hidden="false" customHeight="false" outlineLevel="0" collapsed="false">
      <c r="A126" s="25" t="n">
        <v>10</v>
      </c>
      <c r="B126" s="26" t="s">
        <v>74</v>
      </c>
      <c r="C126" s="25" t="n">
        <v>5</v>
      </c>
      <c r="D126" s="27" t="s">
        <v>227</v>
      </c>
      <c r="E126" s="25" t="s">
        <v>63</v>
      </c>
      <c r="F126" s="28"/>
      <c r="G126" s="29" t="s">
        <v>92</v>
      </c>
      <c r="H126" s="22"/>
      <c r="I126" s="23"/>
      <c r="J126" s="23"/>
      <c r="K126" s="23"/>
      <c r="L126" s="30" t="str">
        <f aca="false">IF(H126="","",H126+2)</f>
        <v/>
      </c>
      <c r="M126" s="7"/>
      <c r="N126" s="30" t="str">
        <f aca="false">IF(H126="","",H126+6)</f>
        <v/>
      </c>
      <c r="O126" s="7"/>
      <c r="P126" s="30" t="str">
        <f aca="false">IF(H126="","",H126+29)</f>
        <v/>
      </c>
      <c r="Q126" s="7"/>
      <c r="R126" s="30" t="str">
        <f aca="false">IF(H126="","",IF(Q126="Done","Mastered",IF(M126&lt;&gt;"Done",L126,IF(O126&lt;&gt;"Done",N126,P126))))</f>
        <v/>
      </c>
      <c r="S126" s="25" t="str">
        <f aca="true">IF(H126="","Not started",IF(Q126="Done","Mastered",IF(OR(M126="Redo",O126="Redo",Q126="Redo"),"Redo",IF(R126&lt;=TODAY(),"Re-solve due","In progress"))))</f>
        <v>Not started</v>
      </c>
    </row>
    <row r="127" customFormat="false" ht="23.85" hidden="false" customHeight="false" outlineLevel="0" collapsed="false">
      <c r="A127" s="25" t="n">
        <v>10</v>
      </c>
      <c r="B127" s="26" t="s">
        <v>74</v>
      </c>
      <c r="C127" s="25" t="n">
        <v>647</v>
      </c>
      <c r="D127" s="27" t="s">
        <v>228</v>
      </c>
      <c r="E127" s="25" t="s">
        <v>63</v>
      </c>
      <c r="F127" s="28"/>
      <c r="G127" s="29" t="s">
        <v>92</v>
      </c>
      <c r="H127" s="22"/>
      <c r="I127" s="23"/>
      <c r="J127" s="23"/>
      <c r="K127" s="23"/>
      <c r="L127" s="30" t="str">
        <f aca="false">IF(H127="","",H127+2)</f>
        <v/>
      </c>
      <c r="M127" s="7"/>
      <c r="N127" s="30" t="str">
        <f aca="false">IF(H127="","",H127+6)</f>
        <v/>
      </c>
      <c r="O127" s="7"/>
      <c r="P127" s="30" t="str">
        <f aca="false">IF(H127="","",H127+29)</f>
        <v/>
      </c>
      <c r="Q127" s="7"/>
      <c r="R127" s="30" t="str">
        <f aca="false">IF(H127="","",IF(Q127="Done","Mastered",IF(M127&lt;&gt;"Done",L127,IF(O127&lt;&gt;"Done",N127,P127))))</f>
        <v/>
      </c>
      <c r="S127" s="25" t="str">
        <f aca="true">IF(H127="","Not started",IF(Q127="Done","Mastered",IF(OR(M127="Redo",O127="Redo",Q127="Redo"),"Redo",IF(R127&lt;=TODAY(),"Re-solve due","In progress"))))</f>
        <v>Not started</v>
      </c>
    </row>
    <row r="128" customFormat="false" ht="23.85" hidden="false" customHeight="false" outlineLevel="0" collapsed="false">
      <c r="A128" s="25" t="n">
        <v>10</v>
      </c>
      <c r="B128" s="26" t="s">
        <v>74</v>
      </c>
      <c r="C128" s="25" t="n">
        <v>91</v>
      </c>
      <c r="D128" s="27" t="s">
        <v>229</v>
      </c>
      <c r="E128" s="25" t="s">
        <v>63</v>
      </c>
      <c r="F128" s="28"/>
      <c r="G128" s="29" t="s">
        <v>92</v>
      </c>
      <c r="H128" s="22"/>
      <c r="I128" s="23"/>
      <c r="J128" s="23"/>
      <c r="K128" s="23"/>
      <c r="L128" s="30" t="str">
        <f aca="false">IF(H128="","",H128+2)</f>
        <v/>
      </c>
      <c r="M128" s="7"/>
      <c r="N128" s="30" t="str">
        <f aca="false">IF(H128="","",H128+6)</f>
        <v/>
      </c>
      <c r="O128" s="7"/>
      <c r="P128" s="30" t="str">
        <f aca="false">IF(H128="","",H128+29)</f>
        <v/>
      </c>
      <c r="Q128" s="7"/>
      <c r="R128" s="30" t="str">
        <f aca="false">IF(H128="","",IF(Q128="Done","Mastered",IF(M128&lt;&gt;"Done",L128,IF(O128&lt;&gt;"Done",N128,P128))))</f>
        <v/>
      </c>
      <c r="S128" s="25" t="str">
        <f aca="true">IF(H128="","Not started",IF(Q128="Done","Mastered",IF(OR(M128="Redo",O128="Redo",Q128="Redo"),"Redo",IF(R128&lt;=TODAY(),"Re-solve due","In progress"))))</f>
        <v>Not started</v>
      </c>
    </row>
    <row r="129" customFormat="false" ht="23.85" hidden="false" customHeight="false" outlineLevel="0" collapsed="false">
      <c r="A129" s="25" t="n">
        <v>10</v>
      </c>
      <c r="B129" s="26" t="s">
        <v>74</v>
      </c>
      <c r="C129" s="25" t="n">
        <v>322</v>
      </c>
      <c r="D129" s="27" t="s">
        <v>230</v>
      </c>
      <c r="E129" s="25" t="s">
        <v>63</v>
      </c>
      <c r="F129" s="28"/>
      <c r="G129" s="29" t="s">
        <v>92</v>
      </c>
      <c r="H129" s="22"/>
      <c r="I129" s="23"/>
      <c r="J129" s="23"/>
      <c r="K129" s="23"/>
      <c r="L129" s="30" t="str">
        <f aca="false">IF(H129="","",H129+2)</f>
        <v/>
      </c>
      <c r="M129" s="7"/>
      <c r="N129" s="30" t="str">
        <f aca="false">IF(H129="","",H129+6)</f>
        <v/>
      </c>
      <c r="O129" s="7"/>
      <c r="P129" s="30" t="str">
        <f aca="false">IF(H129="","",H129+29)</f>
        <v/>
      </c>
      <c r="Q129" s="7"/>
      <c r="R129" s="30" t="str">
        <f aca="false">IF(H129="","",IF(Q129="Done","Mastered",IF(M129&lt;&gt;"Done",L129,IF(O129&lt;&gt;"Done",N129,P129))))</f>
        <v/>
      </c>
      <c r="S129" s="25" t="str">
        <f aca="true">IF(H129="","Not started",IF(Q129="Done","Mastered",IF(OR(M129="Redo",O129="Redo",Q129="Redo"),"Redo",IF(R129&lt;=TODAY(),"Re-solve due","In progress"))))</f>
        <v>Not started</v>
      </c>
    </row>
    <row r="130" customFormat="false" ht="23.85" hidden="false" customHeight="false" outlineLevel="0" collapsed="false">
      <c r="A130" s="25" t="n">
        <v>10</v>
      </c>
      <c r="B130" s="26" t="s">
        <v>74</v>
      </c>
      <c r="C130" s="25" t="n">
        <v>152</v>
      </c>
      <c r="D130" s="27" t="s">
        <v>231</v>
      </c>
      <c r="E130" s="25" t="s">
        <v>63</v>
      </c>
      <c r="F130" s="28"/>
      <c r="G130" s="29" t="s">
        <v>92</v>
      </c>
      <c r="H130" s="22"/>
      <c r="I130" s="23"/>
      <c r="J130" s="23"/>
      <c r="K130" s="23"/>
      <c r="L130" s="30" t="str">
        <f aca="false">IF(H130="","",H130+2)</f>
        <v/>
      </c>
      <c r="M130" s="7"/>
      <c r="N130" s="30" t="str">
        <f aca="false">IF(H130="","",H130+6)</f>
        <v/>
      </c>
      <c r="O130" s="7"/>
      <c r="P130" s="30" t="str">
        <f aca="false">IF(H130="","",H130+29)</f>
        <v/>
      </c>
      <c r="Q130" s="7"/>
      <c r="R130" s="30" t="str">
        <f aca="false">IF(H130="","",IF(Q130="Done","Mastered",IF(M130&lt;&gt;"Done",L130,IF(O130&lt;&gt;"Done",N130,P130))))</f>
        <v/>
      </c>
      <c r="S130" s="25" t="str">
        <f aca="true">IF(H130="","Not started",IF(Q130="Done","Mastered",IF(OR(M130="Redo",O130="Redo",Q130="Redo"),"Redo",IF(R130&lt;=TODAY(),"Re-solve due","In progress"))))</f>
        <v>Not started</v>
      </c>
    </row>
    <row r="131" customFormat="false" ht="23.85" hidden="false" customHeight="false" outlineLevel="0" collapsed="false">
      <c r="A131" s="25" t="n">
        <v>10</v>
      </c>
      <c r="B131" s="26" t="s">
        <v>74</v>
      </c>
      <c r="C131" s="25" t="n">
        <v>139</v>
      </c>
      <c r="D131" s="27" t="s">
        <v>232</v>
      </c>
      <c r="E131" s="25" t="s">
        <v>63</v>
      </c>
      <c r="F131" s="28"/>
      <c r="G131" s="29" t="s">
        <v>92</v>
      </c>
      <c r="H131" s="22"/>
      <c r="I131" s="23"/>
      <c r="J131" s="23"/>
      <c r="K131" s="23"/>
      <c r="L131" s="30" t="str">
        <f aca="false">IF(H131="","",H131+2)</f>
        <v/>
      </c>
      <c r="M131" s="7"/>
      <c r="N131" s="30" t="str">
        <f aca="false">IF(H131="","",H131+6)</f>
        <v/>
      </c>
      <c r="O131" s="7"/>
      <c r="P131" s="30" t="str">
        <f aca="false">IF(H131="","",H131+29)</f>
        <v/>
      </c>
      <c r="Q131" s="7"/>
      <c r="R131" s="30" t="str">
        <f aca="false">IF(H131="","",IF(Q131="Done","Mastered",IF(M131&lt;&gt;"Done",L131,IF(O131&lt;&gt;"Done",N131,P131))))</f>
        <v/>
      </c>
      <c r="S131" s="25" t="str">
        <f aca="true">IF(H131="","Not started",IF(Q131="Done","Mastered",IF(OR(M131="Redo",O131="Redo",Q131="Redo"),"Redo",IF(R131&lt;=TODAY(),"Re-solve due","In progress"))))</f>
        <v>Not started</v>
      </c>
    </row>
    <row r="132" customFormat="false" ht="23.85" hidden="false" customHeight="false" outlineLevel="0" collapsed="false">
      <c r="A132" s="25" t="n">
        <v>10</v>
      </c>
      <c r="B132" s="26" t="s">
        <v>74</v>
      </c>
      <c r="C132" s="25" t="n">
        <v>300</v>
      </c>
      <c r="D132" s="27" t="s">
        <v>233</v>
      </c>
      <c r="E132" s="25" t="s">
        <v>63</v>
      </c>
      <c r="F132" s="28"/>
      <c r="G132" s="29" t="s">
        <v>92</v>
      </c>
      <c r="H132" s="22"/>
      <c r="I132" s="23"/>
      <c r="J132" s="23"/>
      <c r="K132" s="23"/>
      <c r="L132" s="30" t="str">
        <f aca="false">IF(H132="","",H132+2)</f>
        <v/>
      </c>
      <c r="M132" s="7"/>
      <c r="N132" s="30" t="str">
        <f aca="false">IF(H132="","",H132+6)</f>
        <v/>
      </c>
      <c r="O132" s="7"/>
      <c r="P132" s="30" t="str">
        <f aca="false">IF(H132="","",H132+29)</f>
        <v/>
      </c>
      <c r="Q132" s="7"/>
      <c r="R132" s="30" t="str">
        <f aca="false">IF(H132="","",IF(Q132="Done","Mastered",IF(M132&lt;&gt;"Done",L132,IF(O132&lt;&gt;"Done",N132,P132))))</f>
        <v/>
      </c>
      <c r="S132" s="25" t="str">
        <f aca="true">IF(H132="","Not started",IF(Q132="Done","Mastered",IF(OR(M132="Redo",O132="Redo",Q132="Redo"),"Redo",IF(R132&lt;=TODAY(),"Re-solve due","In progress"))))</f>
        <v>Not started</v>
      </c>
    </row>
    <row r="133" customFormat="false" ht="23.85" hidden="false" customHeight="false" outlineLevel="0" collapsed="false">
      <c r="A133" s="25" t="n">
        <v>10</v>
      </c>
      <c r="B133" s="26" t="s">
        <v>74</v>
      </c>
      <c r="C133" s="25" t="n">
        <v>416</v>
      </c>
      <c r="D133" s="27" t="s">
        <v>234</v>
      </c>
      <c r="E133" s="25" t="s">
        <v>63</v>
      </c>
      <c r="F133" s="28"/>
      <c r="G133" s="29" t="s">
        <v>92</v>
      </c>
      <c r="H133" s="22"/>
      <c r="I133" s="23"/>
      <c r="J133" s="23"/>
      <c r="K133" s="23"/>
      <c r="L133" s="30" t="str">
        <f aca="false">IF(H133="","",H133+2)</f>
        <v/>
      </c>
      <c r="M133" s="7"/>
      <c r="N133" s="30" t="str">
        <f aca="false">IF(H133="","",H133+6)</f>
        <v/>
      </c>
      <c r="O133" s="7"/>
      <c r="P133" s="30" t="str">
        <f aca="false">IF(H133="","",H133+29)</f>
        <v/>
      </c>
      <c r="Q133" s="7"/>
      <c r="R133" s="30" t="str">
        <f aca="false">IF(H133="","",IF(Q133="Done","Mastered",IF(M133&lt;&gt;"Done",L133,IF(O133&lt;&gt;"Done",N133,P133))))</f>
        <v/>
      </c>
      <c r="S133" s="25" t="str">
        <f aca="true">IF(H133="","Not started",IF(Q133="Done","Mastered",IF(OR(M133="Redo",O133="Redo",Q133="Redo"),"Redo",IF(R133&lt;=TODAY(),"Re-solve due","In progress"))))</f>
        <v>Not started</v>
      </c>
    </row>
    <row r="134" customFormat="false" ht="23.85" hidden="false" customHeight="false" outlineLevel="0" collapsed="false">
      <c r="A134" s="17" t="n">
        <v>11</v>
      </c>
      <c r="B134" s="18" t="s">
        <v>75</v>
      </c>
      <c r="C134" s="17" t="n">
        <v>62</v>
      </c>
      <c r="D134" s="19" t="s">
        <v>235</v>
      </c>
      <c r="E134" s="17" t="s">
        <v>63</v>
      </c>
      <c r="F134" s="20"/>
      <c r="G134" s="21" t="s">
        <v>92</v>
      </c>
      <c r="H134" s="22"/>
      <c r="I134" s="23"/>
      <c r="J134" s="23"/>
      <c r="K134" s="23"/>
      <c r="L134" s="24" t="str">
        <f aca="false">IF(H134="","",H134+2)</f>
        <v/>
      </c>
      <c r="M134" s="7"/>
      <c r="N134" s="24" t="str">
        <f aca="false">IF(H134="","",H134+6)</f>
        <v/>
      </c>
      <c r="O134" s="7"/>
      <c r="P134" s="24" t="str">
        <f aca="false">IF(H134="","",H134+29)</f>
        <v/>
      </c>
      <c r="Q134" s="7"/>
      <c r="R134" s="24" t="str">
        <f aca="false">IF(H134="","",IF(Q134="Done","Mastered",IF(M134&lt;&gt;"Done",L134,IF(O134&lt;&gt;"Done",N134,P134))))</f>
        <v/>
      </c>
      <c r="S134" s="17" t="str">
        <f aca="true">IF(H134="","Not started",IF(Q134="Done","Mastered",IF(OR(M134="Redo",O134="Redo",Q134="Redo"),"Redo",IF(R134&lt;=TODAY(),"Re-solve due","In progress"))))</f>
        <v>Not started</v>
      </c>
    </row>
    <row r="135" customFormat="false" ht="23.85" hidden="false" customHeight="false" outlineLevel="0" collapsed="false">
      <c r="A135" s="17" t="n">
        <v>11</v>
      </c>
      <c r="B135" s="18" t="s">
        <v>75</v>
      </c>
      <c r="C135" s="17" t="n">
        <v>1143</v>
      </c>
      <c r="D135" s="19" t="s">
        <v>236</v>
      </c>
      <c r="E135" s="17" t="s">
        <v>63</v>
      </c>
      <c r="F135" s="20"/>
      <c r="G135" s="21" t="s">
        <v>92</v>
      </c>
      <c r="H135" s="22"/>
      <c r="I135" s="23"/>
      <c r="J135" s="23"/>
      <c r="K135" s="23"/>
      <c r="L135" s="24" t="str">
        <f aca="false">IF(H135="","",H135+2)</f>
        <v/>
      </c>
      <c r="M135" s="7"/>
      <c r="N135" s="24" t="str">
        <f aca="false">IF(H135="","",H135+6)</f>
        <v/>
      </c>
      <c r="O135" s="7"/>
      <c r="P135" s="24" t="str">
        <f aca="false">IF(H135="","",H135+29)</f>
        <v/>
      </c>
      <c r="Q135" s="7"/>
      <c r="R135" s="24" t="str">
        <f aca="false">IF(H135="","",IF(Q135="Done","Mastered",IF(M135&lt;&gt;"Done",L135,IF(O135&lt;&gt;"Done",N135,P135))))</f>
        <v/>
      </c>
      <c r="S135" s="17" t="str">
        <f aca="true">IF(H135="","Not started",IF(Q135="Done","Mastered",IF(OR(M135="Redo",O135="Redo",Q135="Redo"),"Redo",IF(R135&lt;=TODAY(),"Re-solve due","In progress"))))</f>
        <v>Not started</v>
      </c>
    </row>
    <row r="136" customFormat="false" ht="23.85" hidden="false" customHeight="false" outlineLevel="0" collapsed="false">
      <c r="A136" s="17" t="n">
        <v>11</v>
      </c>
      <c r="B136" s="18" t="s">
        <v>75</v>
      </c>
      <c r="C136" s="17" t="n">
        <v>309</v>
      </c>
      <c r="D136" s="19" t="s">
        <v>237</v>
      </c>
      <c r="E136" s="17" t="s">
        <v>63</v>
      </c>
      <c r="F136" s="20"/>
      <c r="G136" s="21" t="s">
        <v>92</v>
      </c>
      <c r="H136" s="22"/>
      <c r="I136" s="23"/>
      <c r="J136" s="23"/>
      <c r="K136" s="23"/>
      <c r="L136" s="24" t="str">
        <f aca="false">IF(H136="","",H136+2)</f>
        <v/>
      </c>
      <c r="M136" s="7"/>
      <c r="N136" s="24" t="str">
        <f aca="false">IF(H136="","",H136+6)</f>
        <v/>
      </c>
      <c r="O136" s="7"/>
      <c r="P136" s="24" t="str">
        <f aca="false">IF(H136="","",H136+29)</f>
        <v/>
      </c>
      <c r="Q136" s="7"/>
      <c r="R136" s="24" t="str">
        <f aca="false">IF(H136="","",IF(Q136="Done","Mastered",IF(M136&lt;&gt;"Done",L136,IF(O136&lt;&gt;"Done",N136,P136))))</f>
        <v/>
      </c>
      <c r="S136" s="17" t="str">
        <f aca="true">IF(H136="","Not started",IF(Q136="Done","Mastered",IF(OR(M136="Redo",O136="Redo",Q136="Redo"),"Redo",IF(R136&lt;=TODAY(),"Re-solve due","In progress"))))</f>
        <v>Not started</v>
      </c>
    </row>
    <row r="137" customFormat="false" ht="23.85" hidden="false" customHeight="false" outlineLevel="0" collapsed="false">
      <c r="A137" s="17" t="n">
        <v>11</v>
      </c>
      <c r="B137" s="18" t="s">
        <v>75</v>
      </c>
      <c r="C137" s="17" t="n">
        <v>518</v>
      </c>
      <c r="D137" s="19" t="s">
        <v>238</v>
      </c>
      <c r="E137" s="17" t="s">
        <v>63</v>
      </c>
      <c r="F137" s="20"/>
      <c r="G137" s="21" t="s">
        <v>92</v>
      </c>
      <c r="H137" s="22"/>
      <c r="I137" s="23"/>
      <c r="J137" s="23"/>
      <c r="K137" s="23"/>
      <c r="L137" s="24" t="str">
        <f aca="false">IF(H137="","",H137+2)</f>
        <v/>
      </c>
      <c r="M137" s="7"/>
      <c r="N137" s="24" t="str">
        <f aca="false">IF(H137="","",H137+6)</f>
        <v/>
      </c>
      <c r="O137" s="7"/>
      <c r="P137" s="24" t="str">
        <f aca="false">IF(H137="","",H137+29)</f>
        <v/>
      </c>
      <c r="Q137" s="7"/>
      <c r="R137" s="24" t="str">
        <f aca="false">IF(H137="","",IF(Q137="Done","Mastered",IF(M137&lt;&gt;"Done",L137,IF(O137&lt;&gt;"Done",N137,P137))))</f>
        <v/>
      </c>
      <c r="S137" s="17" t="str">
        <f aca="true">IF(H137="","Not started",IF(Q137="Done","Mastered",IF(OR(M137="Redo",O137="Redo",Q137="Redo"),"Redo",IF(R137&lt;=TODAY(),"Re-solve due","In progress"))))</f>
        <v>Not started</v>
      </c>
    </row>
    <row r="138" customFormat="false" ht="23.85" hidden="false" customHeight="false" outlineLevel="0" collapsed="false">
      <c r="A138" s="17" t="n">
        <v>11</v>
      </c>
      <c r="B138" s="18" t="s">
        <v>75</v>
      </c>
      <c r="C138" s="17" t="n">
        <v>494</v>
      </c>
      <c r="D138" s="19" t="s">
        <v>239</v>
      </c>
      <c r="E138" s="17" t="s">
        <v>63</v>
      </c>
      <c r="F138" s="20"/>
      <c r="G138" s="21" t="s">
        <v>92</v>
      </c>
      <c r="H138" s="22"/>
      <c r="I138" s="23"/>
      <c r="J138" s="23"/>
      <c r="K138" s="23"/>
      <c r="L138" s="24" t="str">
        <f aca="false">IF(H138="","",H138+2)</f>
        <v/>
      </c>
      <c r="M138" s="7"/>
      <c r="N138" s="24" t="str">
        <f aca="false">IF(H138="","",H138+6)</f>
        <v/>
      </c>
      <c r="O138" s="7"/>
      <c r="P138" s="24" t="str">
        <f aca="false">IF(H138="","",H138+29)</f>
        <v/>
      </c>
      <c r="Q138" s="7"/>
      <c r="R138" s="24" t="str">
        <f aca="false">IF(H138="","",IF(Q138="Done","Mastered",IF(M138&lt;&gt;"Done",L138,IF(O138&lt;&gt;"Done",N138,P138))))</f>
        <v/>
      </c>
      <c r="S138" s="17" t="str">
        <f aca="true">IF(H138="","Not started",IF(Q138="Done","Mastered",IF(OR(M138="Redo",O138="Redo",Q138="Redo"),"Redo",IF(R138&lt;=TODAY(),"Re-solve due","In progress"))))</f>
        <v>Not started</v>
      </c>
    </row>
    <row r="139" customFormat="false" ht="23.85" hidden="false" customHeight="false" outlineLevel="0" collapsed="false">
      <c r="A139" s="17" t="n">
        <v>11</v>
      </c>
      <c r="B139" s="18" t="s">
        <v>75</v>
      </c>
      <c r="C139" s="17" t="n">
        <v>97</v>
      </c>
      <c r="D139" s="19" t="s">
        <v>240</v>
      </c>
      <c r="E139" s="17" t="s">
        <v>63</v>
      </c>
      <c r="F139" s="20"/>
      <c r="G139" s="21" t="s">
        <v>92</v>
      </c>
      <c r="H139" s="22"/>
      <c r="I139" s="23"/>
      <c r="J139" s="23"/>
      <c r="K139" s="23"/>
      <c r="L139" s="24" t="str">
        <f aca="false">IF(H139="","",H139+2)</f>
        <v/>
      </c>
      <c r="M139" s="7"/>
      <c r="N139" s="24" t="str">
        <f aca="false">IF(H139="","",H139+6)</f>
        <v/>
      </c>
      <c r="O139" s="7"/>
      <c r="P139" s="24" t="str">
        <f aca="false">IF(H139="","",H139+29)</f>
        <v/>
      </c>
      <c r="Q139" s="7"/>
      <c r="R139" s="24" t="str">
        <f aca="false">IF(H139="","",IF(Q139="Done","Mastered",IF(M139&lt;&gt;"Done",L139,IF(O139&lt;&gt;"Done",N139,P139))))</f>
        <v/>
      </c>
      <c r="S139" s="17" t="str">
        <f aca="true">IF(H139="","Not started",IF(Q139="Done","Mastered",IF(OR(M139="Redo",O139="Redo",Q139="Redo"),"Redo",IF(R139&lt;=TODAY(),"Re-solve due","In progress"))))</f>
        <v>Not started</v>
      </c>
    </row>
    <row r="140" customFormat="false" ht="23.85" hidden="false" customHeight="false" outlineLevel="0" collapsed="false">
      <c r="A140" s="17" t="n">
        <v>11</v>
      </c>
      <c r="B140" s="18" t="s">
        <v>75</v>
      </c>
      <c r="C140" s="17" t="n">
        <v>72</v>
      </c>
      <c r="D140" s="19" t="s">
        <v>241</v>
      </c>
      <c r="E140" s="17" t="s">
        <v>63</v>
      </c>
      <c r="F140" s="20"/>
      <c r="G140" s="21" t="s">
        <v>92</v>
      </c>
      <c r="H140" s="22"/>
      <c r="I140" s="23"/>
      <c r="J140" s="23"/>
      <c r="K140" s="23"/>
      <c r="L140" s="24" t="str">
        <f aca="false">IF(H140="","",H140+2)</f>
        <v/>
      </c>
      <c r="M140" s="7"/>
      <c r="N140" s="24" t="str">
        <f aca="false">IF(H140="","",H140+6)</f>
        <v/>
      </c>
      <c r="O140" s="7"/>
      <c r="P140" s="24" t="str">
        <f aca="false">IF(H140="","",H140+29)</f>
        <v/>
      </c>
      <c r="Q140" s="7"/>
      <c r="R140" s="24" t="str">
        <f aca="false">IF(H140="","",IF(Q140="Done","Mastered",IF(M140&lt;&gt;"Done",L140,IF(O140&lt;&gt;"Done",N140,P140))))</f>
        <v/>
      </c>
      <c r="S140" s="17" t="str">
        <f aca="true">IF(H140="","Not started",IF(Q140="Done","Mastered",IF(OR(M140="Redo",O140="Redo",Q140="Redo"),"Redo",IF(R140&lt;=TODAY(),"Re-solve due","In progress"))))</f>
        <v>Not started</v>
      </c>
    </row>
    <row r="141" customFormat="false" ht="23.85" hidden="false" customHeight="false" outlineLevel="0" collapsed="false">
      <c r="A141" s="17" t="n">
        <v>11</v>
      </c>
      <c r="B141" s="18" t="s">
        <v>75</v>
      </c>
      <c r="C141" s="17" t="n">
        <v>329</v>
      </c>
      <c r="D141" s="19" t="s">
        <v>242</v>
      </c>
      <c r="E141" s="17" t="s">
        <v>64</v>
      </c>
      <c r="F141" s="20"/>
      <c r="G141" s="21" t="s">
        <v>92</v>
      </c>
      <c r="H141" s="22"/>
      <c r="I141" s="23"/>
      <c r="J141" s="23"/>
      <c r="K141" s="23"/>
      <c r="L141" s="24" t="str">
        <f aca="false">IF(H141="","",H141+2)</f>
        <v/>
      </c>
      <c r="M141" s="7"/>
      <c r="N141" s="24" t="str">
        <f aca="false">IF(H141="","",H141+6)</f>
        <v/>
      </c>
      <c r="O141" s="7"/>
      <c r="P141" s="24" t="str">
        <f aca="false">IF(H141="","",H141+29)</f>
        <v/>
      </c>
      <c r="Q141" s="7"/>
      <c r="R141" s="24" t="str">
        <f aca="false">IF(H141="","",IF(Q141="Done","Mastered",IF(M141&lt;&gt;"Done",L141,IF(O141&lt;&gt;"Done",N141,P141))))</f>
        <v/>
      </c>
      <c r="S141" s="17" t="str">
        <f aca="true">IF(H141="","Not started",IF(Q141="Done","Mastered",IF(OR(M141="Redo",O141="Redo",Q141="Redo"),"Redo",IF(R141&lt;=TODAY(),"Re-solve due","In progress"))))</f>
        <v>Not started</v>
      </c>
    </row>
    <row r="142" customFormat="false" ht="23.85" hidden="false" customHeight="false" outlineLevel="0" collapsed="false">
      <c r="A142" s="17" t="n">
        <v>11</v>
      </c>
      <c r="B142" s="18" t="s">
        <v>75</v>
      </c>
      <c r="C142" s="17" t="n">
        <v>115</v>
      </c>
      <c r="D142" s="19" t="s">
        <v>243</v>
      </c>
      <c r="E142" s="17" t="s">
        <v>64</v>
      </c>
      <c r="F142" s="20"/>
      <c r="G142" s="21" t="s">
        <v>92</v>
      </c>
      <c r="H142" s="22"/>
      <c r="I142" s="23"/>
      <c r="J142" s="23"/>
      <c r="K142" s="23"/>
      <c r="L142" s="24" t="str">
        <f aca="false">IF(H142="","",H142+2)</f>
        <v/>
      </c>
      <c r="M142" s="7"/>
      <c r="N142" s="24" t="str">
        <f aca="false">IF(H142="","",H142+6)</f>
        <v/>
      </c>
      <c r="O142" s="7"/>
      <c r="P142" s="24" t="str">
        <f aca="false">IF(H142="","",H142+29)</f>
        <v/>
      </c>
      <c r="Q142" s="7"/>
      <c r="R142" s="24" t="str">
        <f aca="false">IF(H142="","",IF(Q142="Done","Mastered",IF(M142&lt;&gt;"Done",L142,IF(O142&lt;&gt;"Done",N142,P142))))</f>
        <v/>
      </c>
      <c r="S142" s="17" t="str">
        <f aca="true">IF(H142="","Not started",IF(Q142="Done","Mastered",IF(OR(M142="Redo",O142="Redo",Q142="Redo"),"Redo",IF(R142&lt;=TODAY(),"Re-solve due","In progress"))))</f>
        <v>Not started</v>
      </c>
    </row>
    <row r="143" customFormat="false" ht="23.85" hidden="false" customHeight="false" outlineLevel="0" collapsed="false">
      <c r="A143" s="17" t="n">
        <v>11</v>
      </c>
      <c r="B143" s="18" t="s">
        <v>75</v>
      </c>
      <c r="C143" s="17" t="n">
        <v>312</v>
      </c>
      <c r="D143" s="19" t="s">
        <v>244</v>
      </c>
      <c r="E143" s="17" t="s">
        <v>64</v>
      </c>
      <c r="F143" s="20"/>
      <c r="G143" s="21" t="s">
        <v>92</v>
      </c>
      <c r="H143" s="22"/>
      <c r="I143" s="23"/>
      <c r="J143" s="23"/>
      <c r="K143" s="23"/>
      <c r="L143" s="24" t="str">
        <f aca="false">IF(H143="","",H143+2)</f>
        <v/>
      </c>
      <c r="M143" s="7"/>
      <c r="N143" s="24" t="str">
        <f aca="false">IF(H143="","",H143+6)</f>
        <v/>
      </c>
      <c r="O143" s="7"/>
      <c r="P143" s="24" t="str">
        <f aca="false">IF(H143="","",H143+29)</f>
        <v/>
      </c>
      <c r="Q143" s="7"/>
      <c r="R143" s="24" t="str">
        <f aca="false">IF(H143="","",IF(Q143="Done","Mastered",IF(M143&lt;&gt;"Done",L143,IF(O143&lt;&gt;"Done",N143,P143))))</f>
        <v/>
      </c>
      <c r="S143" s="17" t="str">
        <f aca="true">IF(H143="","Not started",IF(Q143="Done","Mastered",IF(OR(M143="Redo",O143="Redo",Q143="Redo"),"Redo",IF(R143&lt;=TODAY(),"Re-solve due","In progress"))))</f>
        <v>Not started</v>
      </c>
    </row>
    <row r="144" customFormat="false" ht="23.85" hidden="false" customHeight="false" outlineLevel="0" collapsed="false">
      <c r="A144" s="17" t="n">
        <v>11</v>
      </c>
      <c r="B144" s="18" t="s">
        <v>75</v>
      </c>
      <c r="C144" s="17" t="n">
        <v>10</v>
      </c>
      <c r="D144" s="19" t="s">
        <v>245</v>
      </c>
      <c r="E144" s="17" t="s">
        <v>64</v>
      </c>
      <c r="F144" s="20"/>
      <c r="G144" s="21" t="s">
        <v>92</v>
      </c>
      <c r="H144" s="22"/>
      <c r="I144" s="23"/>
      <c r="J144" s="23"/>
      <c r="K144" s="23"/>
      <c r="L144" s="24" t="str">
        <f aca="false">IF(H144="","",H144+2)</f>
        <v/>
      </c>
      <c r="M144" s="7"/>
      <c r="N144" s="24" t="str">
        <f aca="false">IF(H144="","",H144+6)</f>
        <v/>
      </c>
      <c r="O144" s="7"/>
      <c r="P144" s="24" t="str">
        <f aca="false">IF(H144="","",H144+29)</f>
        <v/>
      </c>
      <c r="Q144" s="7"/>
      <c r="R144" s="24" t="str">
        <f aca="false">IF(H144="","",IF(Q144="Done","Mastered",IF(M144&lt;&gt;"Done",L144,IF(O144&lt;&gt;"Done",N144,P144))))</f>
        <v/>
      </c>
      <c r="S144" s="17" t="str">
        <f aca="true">IF(H144="","Not started",IF(Q144="Done","Mastered",IF(OR(M144="Redo",O144="Redo",Q144="Redo"),"Redo",IF(R144&lt;=TODAY(),"Re-solve due","In progress"))))</f>
        <v>Not started</v>
      </c>
    </row>
    <row r="145" customFormat="false" ht="15" hidden="false" customHeight="false" outlineLevel="0" collapsed="false">
      <c r="A145" s="25" t="n">
        <v>12</v>
      </c>
      <c r="B145" s="26" t="s">
        <v>246</v>
      </c>
      <c r="C145" s="25" t="n">
        <v>136</v>
      </c>
      <c r="D145" s="27" t="s">
        <v>247</v>
      </c>
      <c r="E145" s="25" t="s">
        <v>62</v>
      </c>
      <c r="F145" s="28"/>
      <c r="G145" s="29" t="s">
        <v>92</v>
      </c>
      <c r="H145" s="22"/>
      <c r="I145" s="23"/>
      <c r="J145" s="23"/>
      <c r="K145" s="23"/>
      <c r="L145" s="30" t="str">
        <f aca="false">IF(H145="","",H145+2)</f>
        <v/>
      </c>
      <c r="M145" s="7"/>
      <c r="N145" s="30" t="str">
        <f aca="false">IF(H145="","",H145+6)</f>
        <v/>
      </c>
      <c r="O145" s="7"/>
      <c r="P145" s="30" t="str">
        <f aca="false">IF(H145="","",H145+29)</f>
        <v/>
      </c>
      <c r="Q145" s="7"/>
      <c r="R145" s="30" t="str">
        <f aca="false">IF(H145="","",IF(Q145="Done","Mastered",IF(M145&lt;&gt;"Done",L145,IF(O145&lt;&gt;"Done",N145,P145))))</f>
        <v/>
      </c>
      <c r="S145" s="25" t="str">
        <f aca="true">IF(H145="","Not started",IF(Q145="Done","Mastered",IF(OR(M145="Redo",O145="Redo",Q145="Redo"),"Redo",IF(R145&lt;=TODAY(),"Re-solve due","In progress"))))</f>
        <v>Not started</v>
      </c>
    </row>
    <row r="146" customFormat="false" ht="15" hidden="false" customHeight="false" outlineLevel="0" collapsed="false">
      <c r="A146" s="25" t="n">
        <v>12</v>
      </c>
      <c r="B146" s="26" t="s">
        <v>246</v>
      </c>
      <c r="C146" s="25" t="n">
        <v>191</v>
      </c>
      <c r="D146" s="27" t="s">
        <v>248</v>
      </c>
      <c r="E146" s="25" t="s">
        <v>62</v>
      </c>
      <c r="F146" s="28"/>
      <c r="G146" s="29" t="s">
        <v>92</v>
      </c>
      <c r="H146" s="22"/>
      <c r="I146" s="23"/>
      <c r="J146" s="23"/>
      <c r="K146" s="23"/>
      <c r="L146" s="30" t="str">
        <f aca="false">IF(H146="","",H146+2)</f>
        <v/>
      </c>
      <c r="M146" s="7"/>
      <c r="N146" s="30" t="str">
        <f aca="false">IF(H146="","",H146+6)</f>
        <v/>
      </c>
      <c r="O146" s="7"/>
      <c r="P146" s="30" t="str">
        <f aca="false">IF(H146="","",H146+29)</f>
        <v/>
      </c>
      <c r="Q146" s="7"/>
      <c r="R146" s="30" t="str">
        <f aca="false">IF(H146="","",IF(Q146="Done","Mastered",IF(M146&lt;&gt;"Done",L146,IF(O146&lt;&gt;"Done",N146,P146))))</f>
        <v/>
      </c>
      <c r="S146" s="25" t="str">
        <f aca="true">IF(H146="","Not started",IF(Q146="Done","Mastered",IF(OR(M146="Redo",O146="Redo",Q146="Redo"),"Redo",IF(R146&lt;=TODAY(),"Re-solve due","In progress"))))</f>
        <v>Not started</v>
      </c>
    </row>
    <row r="147" customFormat="false" ht="15" hidden="false" customHeight="false" outlineLevel="0" collapsed="false">
      <c r="A147" s="25" t="n">
        <v>12</v>
      </c>
      <c r="B147" s="26" t="s">
        <v>246</v>
      </c>
      <c r="C147" s="25" t="n">
        <v>338</v>
      </c>
      <c r="D147" s="27" t="s">
        <v>249</v>
      </c>
      <c r="E147" s="25" t="s">
        <v>62</v>
      </c>
      <c r="F147" s="28"/>
      <c r="G147" s="29" t="s">
        <v>92</v>
      </c>
      <c r="H147" s="22"/>
      <c r="I147" s="23"/>
      <c r="J147" s="23"/>
      <c r="K147" s="23"/>
      <c r="L147" s="30" t="str">
        <f aca="false">IF(H147="","",H147+2)</f>
        <v/>
      </c>
      <c r="M147" s="7"/>
      <c r="N147" s="30" t="str">
        <f aca="false">IF(H147="","",H147+6)</f>
        <v/>
      </c>
      <c r="O147" s="7"/>
      <c r="P147" s="30" t="str">
        <f aca="false">IF(H147="","",H147+29)</f>
        <v/>
      </c>
      <c r="Q147" s="7"/>
      <c r="R147" s="30" t="str">
        <f aca="false">IF(H147="","",IF(Q147="Done","Mastered",IF(M147&lt;&gt;"Done",L147,IF(O147&lt;&gt;"Done",N147,P147))))</f>
        <v/>
      </c>
      <c r="S147" s="25" t="str">
        <f aca="true">IF(H147="","Not started",IF(Q147="Done","Mastered",IF(OR(M147="Redo",O147="Redo",Q147="Redo"),"Redo",IF(R147&lt;=TODAY(),"Re-solve due","In progress"))))</f>
        <v>Not started</v>
      </c>
    </row>
    <row r="148" customFormat="false" ht="15" hidden="false" customHeight="false" outlineLevel="0" collapsed="false">
      <c r="A148" s="25" t="n">
        <v>12</v>
      </c>
      <c r="B148" s="26" t="s">
        <v>246</v>
      </c>
      <c r="C148" s="25" t="n">
        <v>190</v>
      </c>
      <c r="D148" s="27" t="s">
        <v>250</v>
      </c>
      <c r="E148" s="25" t="s">
        <v>62</v>
      </c>
      <c r="F148" s="28"/>
      <c r="G148" s="29" t="s">
        <v>92</v>
      </c>
      <c r="H148" s="22"/>
      <c r="I148" s="23"/>
      <c r="J148" s="23"/>
      <c r="K148" s="23"/>
      <c r="L148" s="30" t="str">
        <f aca="false">IF(H148="","",H148+2)</f>
        <v/>
      </c>
      <c r="M148" s="7"/>
      <c r="N148" s="30" t="str">
        <f aca="false">IF(H148="","",H148+6)</f>
        <v/>
      </c>
      <c r="O148" s="7"/>
      <c r="P148" s="30" t="str">
        <f aca="false">IF(H148="","",H148+29)</f>
        <v/>
      </c>
      <c r="Q148" s="7"/>
      <c r="R148" s="30" t="str">
        <f aca="false">IF(H148="","",IF(Q148="Done","Mastered",IF(M148&lt;&gt;"Done",L148,IF(O148&lt;&gt;"Done",N148,P148))))</f>
        <v/>
      </c>
      <c r="S148" s="25" t="str">
        <f aca="true">IF(H148="","Not started",IF(Q148="Done","Mastered",IF(OR(M148="Redo",O148="Redo",Q148="Redo"),"Redo",IF(R148&lt;=TODAY(),"Re-solve due","In progress"))))</f>
        <v>Not started</v>
      </c>
    </row>
    <row r="149" customFormat="false" ht="15" hidden="false" customHeight="false" outlineLevel="0" collapsed="false">
      <c r="A149" s="25" t="n">
        <v>12</v>
      </c>
      <c r="B149" s="26" t="s">
        <v>246</v>
      </c>
      <c r="C149" s="25" t="n">
        <v>268</v>
      </c>
      <c r="D149" s="27" t="s">
        <v>251</v>
      </c>
      <c r="E149" s="25" t="s">
        <v>62</v>
      </c>
      <c r="F149" s="28"/>
      <c r="G149" s="29" t="s">
        <v>92</v>
      </c>
      <c r="H149" s="22"/>
      <c r="I149" s="23"/>
      <c r="J149" s="23"/>
      <c r="K149" s="23"/>
      <c r="L149" s="30" t="str">
        <f aca="false">IF(H149="","",H149+2)</f>
        <v/>
      </c>
      <c r="M149" s="7"/>
      <c r="N149" s="30" t="str">
        <f aca="false">IF(H149="","",H149+6)</f>
        <v/>
      </c>
      <c r="O149" s="7"/>
      <c r="P149" s="30" t="str">
        <f aca="false">IF(H149="","",H149+29)</f>
        <v/>
      </c>
      <c r="Q149" s="7"/>
      <c r="R149" s="30" t="str">
        <f aca="false">IF(H149="","",IF(Q149="Done","Mastered",IF(M149&lt;&gt;"Done",L149,IF(O149&lt;&gt;"Done",N149,P149))))</f>
        <v/>
      </c>
      <c r="S149" s="25" t="str">
        <f aca="true">IF(H149="","Not started",IF(Q149="Done","Mastered",IF(OR(M149="Redo",O149="Redo",Q149="Redo"),"Redo",IF(R149&lt;=TODAY(),"Re-solve due","In progress"))))</f>
        <v>Not started</v>
      </c>
    </row>
    <row r="150" customFormat="false" ht="15" hidden="false" customHeight="false" outlineLevel="0" collapsed="false">
      <c r="A150" s="25" t="n">
        <v>12</v>
      </c>
      <c r="B150" s="26" t="s">
        <v>246</v>
      </c>
      <c r="C150" s="25" t="n">
        <v>371</v>
      </c>
      <c r="D150" s="27" t="s">
        <v>252</v>
      </c>
      <c r="E150" s="25" t="s">
        <v>63</v>
      </c>
      <c r="F150" s="28"/>
      <c r="G150" s="29" t="s">
        <v>92</v>
      </c>
      <c r="H150" s="22"/>
      <c r="I150" s="23"/>
      <c r="J150" s="23"/>
      <c r="K150" s="23"/>
      <c r="L150" s="30" t="str">
        <f aca="false">IF(H150="","",H150+2)</f>
        <v/>
      </c>
      <c r="M150" s="7"/>
      <c r="N150" s="30" t="str">
        <f aca="false">IF(H150="","",H150+6)</f>
        <v/>
      </c>
      <c r="O150" s="7"/>
      <c r="P150" s="30" t="str">
        <f aca="false">IF(H150="","",H150+29)</f>
        <v/>
      </c>
      <c r="Q150" s="7"/>
      <c r="R150" s="30" t="str">
        <f aca="false">IF(H150="","",IF(Q150="Done","Mastered",IF(M150&lt;&gt;"Done",L150,IF(O150&lt;&gt;"Done",N150,P150))))</f>
        <v/>
      </c>
      <c r="S150" s="25" t="str">
        <f aca="true">IF(H150="","Not started",IF(Q150="Done","Mastered",IF(OR(M150="Redo",O150="Redo",Q150="Redo"),"Redo",IF(R150&lt;=TODAY(),"Re-solve due","In progress"))))</f>
        <v>Not started</v>
      </c>
    </row>
    <row r="151" customFormat="false" ht="15" hidden="false" customHeight="false" outlineLevel="0" collapsed="false">
      <c r="A151" s="25" t="n">
        <v>12</v>
      </c>
      <c r="B151" s="26" t="s">
        <v>246</v>
      </c>
      <c r="C151" s="25" t="n">
        <v>7</v>
      </c>
      <c r="D151" s="27" t="s">
        <v>253</v>
      </c>
      <c r="E151" s="25" t="s">
        <v>63</v>
      </c>
      <c r="F151" s="28"/>
      <c r="G151" s="29" t="s">
        <v>92</v>
      </c>
      <c r="H151" s="22"/>
      <c r="I151" s="23"/>
      <c r="J151" s="23"/>
      <c r="K151" s="23"/>
      <c r="L151" s="30" t="str">
        <f aca="false">IF(H151="","",H151+2)</f>
        <v/>
      </c>
      <c r="M151" s="7"/>
      <c r="N151" s="30" t="str">
        <f aca="false">IF(H151="","",H151+6)</f>
        <v/>
      </c>
      <c r="O151" s="7"/>
      <c r="P151" s="30" t="str">
        <f aca="false">IF(H151="","",H151+29)</f>
        <v/>
      </c>
      <c r="Q151" s="7"/>
      <c r="R151" s="30" t="str">
        <f aca="false">IF(H151="","",IF(Q151="Done","Mastered",IF(M151&lt;&gt;"Done",L151,IF(O151&lt;&gt;"Done",N151,P151))))</f>
        <v/>
      </c>
      <c r="S151" s="25" t="str">
        <f aca="true">IF(H151="","Not started",IF(Q151="Done","Mastered",IF(OR(M151="Redo",O151="Redo",Q151="Redo"),"Redo",IF(R151&lt;=TODAY(),"Re-solve due","In progress"))))</f>
        <v>Not started</v>
      </c>
    </row>
  </sheetData>
  <autoFilter ref="A1:S151"/>
  <conditionalFormatting sqref="M2:M151">
    <cfRule type="expression" priority="2" aboveAverage="0" equalAverage="0" bottom="0" percent="0" rank="0" text="" dxfId="0">
      <formula>M2="Done"</formula>
    </cfRule>
    <cfRule type="expression" priority="3" aboveAverage="0" equalAverage="0" bottom="0" percent="0" rank="0" text="" dxfId="11">
      <formula>M2="Redo"</formula>
    </cfRule>
  </conditionalFormatting>
  <conditionalFormatting sqref="O2:O151">
    <cfRule type="expression" priority="4" aboveAverage="0" equalAverage="0" bottom="0" percent="0" rank="0" text="" dxfId="0">
      <formula>O2="Done"</formula>
    </cfRule>
    <cfRule type="expression" priority="5" aboveAverage="0" equalAverage="0" bottom="0" percent="0" rank="0" text="" dxfId="11">
      <formula>O2="Redo"</formula>
    </cfRule>
  </conditionalFormatting>
  <conditionalFormatting sqref="Q2:Q151">
    <cfRule type="expression" priority="6" aboveAverage="0" equalAverage="0" bottom="0" percent="0" rank="0" text="" dxfId="0">
      <formula>Q2="Done"</formula>
    </cfRule>
    <cfRule type="expression" priority="7" aboveAverage="0" equalAverage="0" bottom="0" percent="0" rank="0" text="" dxfId="11">
      <formula>Q2="Redo"</formula>
    </cfRule>
  </conditionalFormatting>
  <conditionalFormatting sqref="S2:S151">
    <cfRule type="expression" priority="8" aboveAverage="0" equalAverage="0" bottom="0" percent="0" rank="0" text="" dxfId="12">
      <formula>S2="Mastered"</formula>
    </cfRule>
    <cfRule type="expression" priority="9" aboveAverage="0" equalAverage="0" bottom="0" percent="0" rank="0" text="" dxfId="13">
      <formula>S2="Redo"</formula>
    </cfRule>
    <cfRule type="expression" priority="10" aboveAverage="0" equalAverage="0" bottom="0" percent="0" rank="0" text="" dxfId="14">
      <formula>S2="Re-solve due"</formula>
    </cfRule>
  </conditionalFormatting>
  <conditionalFormatting sqref="E2:E151">
    <cfRule type="expression" priority="11" aboveAverage="0" equalAverage="0" bottom="0" percent="0" rank="0" text="" dxfId="15">
      <formula>E2="Hard"</formula>
    </cfRule>
    <cfRule type="expression" priority="12" aboveAverage="0" equalAverage="0" bottom="0" percent="0" rank="0" text="" dxfId="16">
      <formula>E2="Easy"</formula>
    </cfRule>
  </conditionalFormatting>
  <dataValidations count="2">
    <dataValidation allowBlank="true" error="Pick Done or Redo" errorStyle="stop" operator="between" showDropDown="false" showErrorMessage="false" showInputMessage="false" sqref="M2:M151 O2:O151 Q2:Q151" type="list">
      <formula1>"Done,Redo"</formula1>
      <formula2>0</formula2>
    </dataValidation>
    <dataValidation allowBlank="true" error="Enter a date, for example 01-Nov-2026" errorStyle="stop" operator="greaterThan" showDropDown="false" showErrorMessage="false" showInputMessage="false" sqref="H2:H151" type="date">
      <formula1>DATE(2020,1,1)</formula1>
      <formula2>0</formula2>
    </dataValidation>
  </dataValidations>
  <hyperlinks>
    <hyperlink ref="D2" r:id="rId1" display="Contains Duplicate"/>
    <hyperlink ref="G2" r:id="rId2" display="Watch"/>
    <hyperlink ref="D3" r:id="rId3" display="Valid Anagram"/>
    <hyperlink ref="G3" r:id="rId4" display="Watch"/>
    <hyperlink ref="D4" r:id="rId5" display="Two Sum"/>
    <hyperlink ref="G4" r:id="rId6" display="Watch"/>
    <hyperlink ref="D5" r:id="rId7" display="Group Anagrams"/>
    <hyperlink ref="G5" r:id="rId8" display="Watch"/>
    <hyperlink ref="D6" r:id="rId9" display="Top K Frequent Elements"/>
    <hyperlink ref="G6" r:id="rId10" display="Watch"/>
    <hyperlink ref="D7" r:id="rId11" display="Product of Array Except Self"/>
    <hyperlink ref="G7" r:id="rId12" display="Watch"/>
    <hyperlink ref="D8" r:id="rId13" display="Valid Sudoku"/>
    <hyperlink ref="G8" r:id="rId14" display="Watch"/>
    <hyperlink ref="D9" r:id="rId15" display="Encode and Decode Strings"/>
    <hyperlink ref="F9" r:id="rId16" display="Free version"/>
    <hyperlink ref="G9" r:id="rId17" display="Watch"/>
    <hyperlink ref="D10" r:id="rId18" display="Longest Consecutive Sequence"/>
    <hyperlink ref="G10" r:id="rId19" display="Watch"/>
    <hyperlink ref="D11" r:id="rId20" display="Valid Palindrome"/>
    <hyperlink ref="G11" r:id="rId21" display="Watch"/>
    <hyperlink ref="D12" r:id="rId22" display="Two Sum II (Input Array Is Sorted)"/>
    <hyperlink ref="G12" r:id="rId23" display="Watch"/>
    <hyperlink ref="D13" r:id="rId24" display="3Sum"/>
    <hyperlink ref="G13" r:id="rId25" display="Watch"/>
    <hyperlink ref="D14" r:id="rId26" display="Container With Most Water"/>
    <hyperlink ref="G14" r:id="rId27" display="Watch"/>
    <hyperlink ref="D15" r:id="rId28" display="Trapping Rain Water"/>
    <hyperlink ref="G15" r:id="rId29" display="Watch"/>
    <hyperlink ref="D16" r:id="rId30" display="Best Time to Buy And Sell Stock"/>
    <hyperlink ref="G16" r:id="rId31" display="Watch"/>
    <hyperlink ref="D17" r:id="rId32" display="Longest Substring Without Repeating Characters"/>
    <hyperlink ref="G17" r:id="rId33" display="Watch"/>
    <hyperlink ref="D18" r:id="rId34" display="Longest Repeating Character Replacement"/>
    <hyperlink ref="G18" r:id="rId35" display="Watch"/>
    <hyperlink ref="D19" r:id="rId36" display="Permutation In String"/>
    <hyperlink ref="G19" r:id="rId37" display="Watch"/>
    <hyperlink ref="D20" r:id="rId38" display="Minimum Window Substring"/>
    <hyperlink ref="G20" r:id="rId39" display="Watch"/>
    <hyperlink ref="D21" r:id="rId40" display="Sliding Window Maximum"/>
    <hyperlink ref="G21" r:id="rId41" display="Watch"/>
    <hyperlink ref="D22" r:id="rId42" display="Valid Parentheses"/>
    <hyperlink ref="G22" r:id="rId43" display="Watch"/>
    <hyperlink ref="D23" r:id="rId44" display="Min Stack"/>
    <hyperlink ref="G23" r:id="rId45" display="Watch"/>
    <hyperlink ref="D24" r:id="rId46" display="Evaluate Reverse Polish Notation"/>
    <hyperlink ref="G24" r:id="rId47" display="Watch"/>
    <hyperlink ref="D25" r:id="rId48" display="Generate Parentheses"/>
    <hyperlink ref="G25" r:id="rId49" display="Watch"/>
    <hyperlink ref="D26" r:id="rId50" display="Daily Temperatures"/>
    <hyperlink ref="G26" r:id="rId51" display="Watch"/>
    <hyperlink ref="D27" r:id="rId52" display="Car Fleet"/>
    <hyperlink ref="G27" r:id="rId53" display="Watch"/>
    <hyperlink ref="D28" r:id="rId54" display="Largest Rectangle In Histogram"/>
    <hyperlink ref="G28" r:id="rId55" display="Watch"/>
    <hyperlink ref="D29" r:id="rId56" display="Binary Search"/>
    <hyperlink ref="G29" r:id="rId57" display="Watch"/>
    <hyperlink ref="D30" r:id="rId58" display="Search a 2D Matrix"/>
    <hyperlink ref="G30" r:id="rId59" display="Watch"/>
    <hyperlink ref="D31" r:id="rId60" display="Koko Eating Bananas"/>
    <hyperlink ref="G31" r:id="rId61" display="Watch"/>
    <hyperlink ref="D32" r:id="rId62" display="Find Minimum In Rotated Sorted Array"/>
    <hyperlink ref="G32" r:id="rId63" display="Watch"/>
    <hyperlink ref="D33" r:id="rId64" display="Search In Rotated Sorted Array"/>
    <hyperlink ref="G33" r:id="rId65" display="Watch"/>
    <hyperlink ref="D34" r:id="rId66" display="Time Based Key-Value Store"/>
    <hyperlink ref="G34" r:id="rId67" display="Watch"/>
    <hyperlink ref="D35" r:id="rId68" display="Median of Two Sorted Arrays"/>
    <hyperlink ref="G35" r:id="rId69" display="Watch"/>
    <hyperlink ref="D36" r:id="rId70" display="Meeting Rooms"/>
    <hyperlink ref="F36" r:id="rId71" display="Free version"/>
    <hyperlink ref="G36" r:id="rId72" display="Watch"/>
    <hyperlink ref="D37" r:id="rId73" display="Insert Interval"/>
    <hyperlink ref="G37" r:id="rId74" display="Watch"/>
    <hyperlink ref="D38" r:id="rId75" display="Merge Intervals"/>
    <hyperlink ref="G38" r:id="rId76" display="Watch"/>
    <hyperlink ref="D39" r:id="rId77" display="Non-overlapping Intervals"/>
    <hyperlink ref="G39" r:id="rId78" display="Watch"/>
    <hyperlink ref="D40" r:id="rId79" display="Meeting Rooms II"/>
    <hyperlink ref="F40" r:id="rId80" display="Free version"/>
    <hyperlink ref="G40" r:id="rId81" display="Watch"/>
    <hyperlink ref="D41" r:id="rId82" display="Minimum Interval to Include Each Query"/>
    <hyperlink ref="G41" r:id="rId83" display="Watch"/>
    <hyperlink ref="D42" r:id="rId84" display="Reverse Linked List"/>
    <hyperlink ref="G42" r:id="rId85" display="Watch"/>
    <hyperlink ref="D43" r:id="rId86" display="Merge Two Sorted Lists"/>
    <hyperlink ref="G43" r:id="rId87" display="Watch"/>
    <hyperlink ref="D44" r:id="rId88" display="Linked List Cycle"/>
    <hyperlink ref="G44" r:id="rId89" display="Watch"/>
    <hyperlink ref="D45" r:id="rId90" display="Reorder List"/>
    <hyperlink ref="G45" r:id="rId91" display="Watch"/>
    <hyperlink ref="D46" r:id="rId92" display="Remove Nth Node From End of List"/>
    <hyperlink ref="G46" r:id="rId93" display="Watch"/>
    <hyperlink ref="D47" r:id="rId94" display="Copy List With Random Pointer"/>
    <hyperlink ref="G47" r:id="rId95" display="Watch"/>
    <hyperlink ref="D48" r:id="rId96" display="Add Two Numbers"/>
    <hyperlink ref="G48" r:id="rId97" display="Watch"/>
    <hyperlink ref="D49" r:id="rId98" display="Find The Duplicate Number"/>
    <hyperlink ref="G49" r:id="rId99" display="Watch"/>
    <hyperlink ref="D50" r:id="rId100" display="LRU Cache"/>
    <hyperlink ref="G50" r:id="rId101" display="Watch"/>
    <hyperlink ref="D51" r:id="rId102" display="Merge k Sorted Lists"/>
    <hyperlink ref="G51" r:id="rId103" display="Watch"/>
    <hyperlink ref="D52" r:id="rId104" display="Reverse Nodes in k-Group"/>
    <hyperlink ref="G52" r:id="rId105" display="Watch"/>
    <hyperlink ref="D53" r:id="rId106" display="Invert Binary Tree"/>
    <hyperlink ref="G53" r:id="rId107" display="Watch"/>
    <hyperlink ref="D54" r:id="rId108" display="Maximum Depth of Binary Tree"/>
    <hyperlink ref="G54" r:id="rId109" display="Watch"/>
    <hyperlink ref="D55" r:id="rId110" display="Diameter of Binary Tree"/>
    <hyperlink ref="G55" r:id="rId111" display="Watch"/>
    <hyperlink ref="D56" r:id="rId112" display="Balanced Binary Tree"/>
    <hyperlink ref="G56" r:id="rId113" display="Watch"/>
    <hyperlink ref="D57" r:id="rId114" display="Same Tree"/>
    <hyperlink ref="G57" r:id="rId115" display="Watch"/>
    <hyperlink ref="D58" r:id="rId116" display="Subtree of Another Tree"/>
    <hyperlink ref="G58" r:id="rId117" display="Watch"/>
    <hyperlink ref="D59" r:id="rId118" display="Lowest Common Ancestor of a Binary Search Tree"/>
    <hyperlink ref="G59" r:id="rId119" display="Watch"/>
    <hyperlink ref="D60" r:id="rId120" display="Binary Tree Level Order Traversal"/>
    <hyperlink ref="G60" r:id="rId121" display="Watch"/>
    <hyperlink ref="D61" r:id="rId122" display="Binary Tree Right Side View"/>
    <hyperlink ref="G61" r:id="rId123" display="Watch"/>
    <hyperlink ref="D62" r:id="rId124" display="Count Good Nodes In Binary Tree"/>
    <hyperlink ref="G62" r:id="rId125" display="Watch"/>
    <hyperlink ref="D63" r:id="rId126" display="Validate Binary Search Tree"/>
    <hyperlink ref="G63" r:id="rId127" display="Watch"/>
    <hyperlink ref="D64" r:id="rId128" display="Kth Smallest Element in a BST"/>
    <hyperlink ref="G64" r:id="rId129" display="Watch"/>
    <hyperlink ref="D65" r:id="rId130" display="Construct Binary Tree From Preorder And Inorder Traversal"/>
    <hyperlink ref="G65" r:id="rId131" display="Watch"/>
    <hyperlink ref="D66" r:id="rId132" display="Binary Tree Maximum Path Sum"/>
    <hyperlink ref="G66" r:id="rId133" display="Watch"/>
    <hyperlink ref="D67" r:id="rId134" display="Serialize And Deserialize Binary Tree"/>
    <hyperlink ref="G67" r:id="rId135" display="Watch"/>
    <hyperlink ref="D68" r:id="rId136" display="Kth Largest Element In a Stream"/>
    <hyperlink ref="G68" r:id="rId137" display="Watch"/>
    <hyperlink ref="D69" r:id="rId138" display="Last Stone Weight"/>
    <hyperlink ref="G69" r:id="rId139" display="Watch"/>
    <hyperlink ref="D70" r:id="rId140" display="K Closest Points to Origin"/>
    <hyperlink ref="G70" r:id="rId141" display="Watch"/>
    <hyperlink ref="D71" r:id="rId142" display="Kth Largest Element In An Array"/>
    <hyperlink ref="G71" r:id="rId143" display="Watch"/>
    <hyperlink ref="D72" r:id="rId144" display="Task Scheduler"/>
    <hyperlink ref="G72" r:id="rId145" display="Watch"/>
    <hyperlink ref="D73" r:id="rId146" display="Design Twitter"/>
    <hyperlink ref="G73" r:id="rId147" display="Watch"/>
    <hyperlink ref="D74" r:id="rId148" display="Find Median From Data Stream"/>
    <hyperlink ref="G74" r:id="rId149" display="Watch"/>
    <hyperlink ref="D75" r:id="rId150" display="Maximum Subarray"/>
    <hyperlink ref="G75" r:id="rId151" display="Watch"/>
    <hyperlink ref="D76" r:id="rId152" display="Jump Game"/>
    <hyperlink ref="G76" r:id="rId153" display="Watch"/>
    <hyperlink ref="D77" r:id="rId154" display="Jump Game II"/>
    <hyperlink ref="G77" r:id="rId155" display="Watch"/>
    <hyperlink ref="D78" r:id="rId156" display="Gas Station"/>
    <hyperlink ref="G78" r:id="rId157" display="Watch"/>
    <hyperlink ref="D79" r:id="rId158" display="Hand of Straights"/>
    <hyperlink ref="G79" r:id="rId159" display="Watch"/>
    <hyperlink ref="D80" r:id="rId160" display="Merge Triplets to Form Target Triplet"/>
    <hyperlink ref="G80" r:id="rId161" display="Watch"/>
    <hyperlink ref="D81" r:id="rId162" display="Partition Labels"/>
    <hyperlink ref="G81" r:id="rId163" display="Watch"/>
    <hyperlink ref="D82" r:id="rId164" display="Valid Parenthesis String"/>
    <hyperlink ref="G82" r:id="rId165" display="Watch"/>
    <hyperlink ref="D83" r:id="rId166" display="Subsets"/>
    <hyperlink ref="G83" r:id="rId167" display="Watch"/>
    <hyperlink ref="D84" r:id="rId168" display="Combination Sum"/>
    <hyperlink ref="G84" r:id="rId169" display="Watch"/>
    <hyperlink ref="D85" r:id="rId170" display="Permutations"/>
    <hyperlink ref="G85" r:id="rId171" display="Watch"/>
    <hyperlink ref="D86" r:id="rId172" display="Subsets II"/>
    <hyperlink ref="G86" r:id="rId173" display="Watch"/>
    <hyperlink ref="D87" r:id="rId174" display="Combination Sum II"/>
    <hyperlink ref="G87" r:id="rId175" display="Watch"/>
    <hyperlink ref="D88" r:id="rId176" display="Word Search"/>
    <hyperlink ref="G88" r:id="rId177" display="Watch"/>
    <hyperlink ref="D89" r:id="rId178" display="Palindrome Partitioning"/>
    <hyperlink ref="G89" r:id="rId179" display="Watch"/>
    <hyperlink ref="D90" r:id="rId180" display="Letter Combinations of a Phone Number"/>
    <hyperlink ref="G90" r:id="rId181" display="Watch"/>
    <hyperlink ref="D91" r:id="rId182" display="N-Queens"/>
    <hyperlink ref="G91" r:id="rId183" display="Watch"/>
    <hyperlink ref="D92" r:id="rId184" display="Implement Trie (Prefix Tree)"/>
    <hyperlink ref="G92" r:id="rId185" display="Watch"/>
    <hyperlink ref="D93" r:id="rId186" display="Design Add And Search Words Data Structure"/>
    <hyperlink ref="G93" r:id="rId187" display="Watch"/>
    <hyperlink ref="D94" r:id="rId188" display="Word Search II"/>
    <hyperlink ref="G94" r:id="rId189" display="Watch"/>
    <hyperlink ref="D95" r:id="rId190" display="Number of Islands"/>
    <hyperlink ref="G95" r:id="rId191" display="Watch"/>
    <hyperlink ref="D96" r:id="rId192" display="Clone Graph"/>
    <hyperlink ref="G96" r:id="rId193" display="Watch"/>
    <hyperlink ref="D97" r:id="rId194" display="Max Area of Island"/>
    <hyperlink ref="G97" r:id="rId195" display="Watch"/>
    <hyperlink ref="D98" r:id="rId196" display="Pacific Atlantic Water Flow"/>
    <hyperlink ref="G98" r:id="rId197" display="Watch"/>
    <hyperlink ref="D99" r:id="rId198" display="Surrounded Regions"/>
    <hyperlink ref="G99" r:id="rId199" display="Watch"/>
    <hyperlink ref="D100" r:id="rId200" display="Rotting Oranges"/>
    <hyperlink ref="G100" r:id="rId201" display="Watch"/>
    <hyperlink ref="D101" r:id="rId202" display="Walls And Gates"/>
    <hyperlink ref="F101" r:id="rId203" display="Free version"/>
    <hyperlink ref="G101" r:id="rId204" display="Watch"/>
    <hyperlink ref="D102" r:id="rId205" display="Course Schedule"/>
    <hyperlink ref="G102" r:id="rId206" display="Watch"/>
    <hyperlink ref="D103" r:id="rId207" display="Course Schedule II"/>
    <hyperlink ref="G103" r:id="rId208" display="Watch"/>
    <hyperlink ref="D104" r:id="rId209" display="Redundant Connection"/>
    <hyperlink ref="G104" r:id="rId210" display="Watch"/>
    <hyperlink ref="D105" r:id="rId211" display="Number of Connected Components In An Undirected Graph"/>
    <hyperlink ref="F105" r:id="rId212" display="Free version"/>
    <hyperlink ref="G105" r:id="rId213" display="Watch"/>
    <hyperlink ref="D106" r:id="rId214" display="Graph Valid Tree"/>
    <hyperlink ref="F106" r:id="rId215" display="Free version"/>
    <hyperlink ref="G106" r:id="rId216" display="Watch"/>
    <hyperlink ref="D107" r:id="rId217" display="Word Ladder"/>
    <hyperlink ref="G107" r:id="rId218" display="Watch"/>
    <hyperlink ref="D108" r:id="rId219" display="Min Cost to Connect All Points"/>
    <hyperlink ref="G108" r:id="rId220" display="Watch"/>
    <hyperlink ref="D109" r:id="rId221" display="Network Delay Time"/>
    <hyperlink ref="G109" r:id="rId222" display="Watch"/>
    <hyperlink ref="D110" r:id="rId223" display="Cheapest Flights Within K Stops"/>
    <hyperlink ref="G110" r:id="rId224" display="Watch"/>
    <hyperlink ref="D111" r:id="rId225" display="Reconstruct Itinerary"/>
    <hyperlink ref="G111" r:id="rId226" display="Watch"/>
    <hyperlink ref="D112" r:id="rId227" display="Swim In Rising Water"/>
    <hyperlink ref="G112" r:id="rId228" display="Watch"/>
    <hyperlink ref="D113" r:id="rId229" display="Alien Dictionary"/>
    <hyperlink ref="F113" r:id="rId230" display="Free version"/>
    <hyperlink ref="G113" r:id="rId231" display="Watch"/>
    <hyperlink ref="D114" r:id="rId232" display="Happy Number"/>
    <hyperlink ref="G114" r:id="rId233" display="Watch"/>
    <hyperlink ref="D115" r:id="rId234" display="Plus One"/>
    <hyperlink ref="G115" r:id="rId235" display="Watch"/>
    <hyperlink ref="D116" r:id="rId236" display="Rotate Image"/>
    <hyperlink ref="G116" r:id="rId237" display="Watch"/>
    <hyperlink ref="D117" r:id="rId238" display="Spiral Matrix"/>
    <hyperlink ref="G117" r:id="rId239" display="Watch"/>
    <hyperlink ref="D118" r:id="rId240" display="Set Matrix Zeroes"/>
    <hyperlink ref="G118" r:id="rId241" display="Watch"/>
    <hyperlink ref="D119" r:id="rId242" display="Pow(x, n)"/>
    <hyperlink ref="G119" r:id="rId243" display="Watch"/>
    <hyperlink ref="D120" r:id="rId244" display="Multiply Strings"/>
    <hyperlink ref="G120" r:id="rId245" display="Watch"/>
    <hyperlink ref="D121" r:id="rId246" display="Detect Squares"/>
    <hyperlink ref="G121" r:id="rId247" display="Watch"/>
    <hyperlink ref="D122" r:id="rId248" display="Climbing Stairs"/>
    <hyperlink ref="G122" r:id="rId249" display="Watch"/>
    <hyperlink ref="D123" r:id="rId250" display="Min Cost Climbing Stairs"/>
    <hyperlink ref="G123" r:id="rId251" display="Watch"/>
    <hyperlink ref="D124" r:id="rId252" display="House Robber"/>
    <hyperlink ref="G124" r:id="rId253" display="Watch"/>
    <hyperlink ref="D125" r:id="rId254" display="House Robber II"/>
    <hyperlink ref="G125" r:id="rId255" display="Watch"/>
    <hyperlink ref="D126" r:id="rId256" display="Longest Palindromic Substring"/>
    <hyperlink ref="G126" r:id="rId257" display="Watch"/>
    <hyperlink ref="D127" r:id="rId258" display="Palindromic Substrings"/>
    <hyperlink ref="G127" r:id="rId259" display="Watch"/>
    <hyperlink ref="D128" r:id="rId260" display="Decode Ways"/>
    <hyperlink ref="G128" r:id="rId261" display="Watch"/>
    <hyperlink ref="D129" r:id="rId262" display="Coin Change"/>
    <hyperlink ref="G129" r:id="rId263" display="Watch"/>
    <hyperlink ref="D130" r:id="rId264" display="Maximum Product Subarray"/>
    <hyperlink ref="G130" r:id="rId265" display="Watch"/>
    <hyperlink ref="D131" r:id="rId266" display="Word Break"/>
    <hyperlink ref="G131" r:id="rId267" display="Watch"/>
    <hyperlink ref="D132" r:id="rId268" display="Longest Increasing Subsequence"/>
    <hyperlink ref="G132" r:id="rId269" display="Watch"/>
    <hyperlink ref="D133" r:id="rId270" display="Partition Equal Subset Sum"/>
    <hyperlink ref="G133" r:id="rId271" display="Watch"/>
    <hyperlink ref="D134" r:id="rId272" display="Unique Paths"/>
    <hyperlink ref="G134" r:id="rId273" display="Watch"/>
    <hyperlink ref="D135" r:id="rId274" display="Longest Common Subsequence"/>
    <hyperlink ref="G135" r:id="rId275" display="Watch"/>
    <hyperlink ref="D136" r:id="rId276" display="Best Time to Buy And Sell Stock With Cooldown"/>
    <hyperlink ref="G136" r:id="rId277" display="Watch"/>
    <hyperlink ref="D137" r:id="rId278" display="Coin Change II"/>
    <hyperlink ref="G137" r:id="rId279" display="Watch"/>
    <hyperlink ref="D138" r:id="rId280" display="Target Sum"/>
    <hyperlink ref="G138" r:id="rId281" display="Watch"/>
    <hyperlink ref="D139" r:id="rId282" display="Interleaving String"/>
    <hyperlink ref="G139" r:id="rId283" display="Watch"/>
    <hyperlink ref="D140" r:id="rId284" display="Edit Distance"/>
    <hyperlink ref="G140" r:id="rId285" display="Watch"/>
    <hyperlink ref="D141" r:id="rId286" display="Longest Increasing Path In a Matrix"/>
    <hyperlink ref="G141" r:id="rId287" display="Watch"/>
    <hyperlink ref="D142" r:id="rId288" display="Distinct Subsequences"/>
    <hyperlink ref="G142" r:id="rId289" display="Watch"/>
    <hyperlink ref="D143" r:id="rId290" display="Burst Balloons"/>
    <hyperlink ref="G143" r:id="rId291" display="Watch"/>
    <hyperlink ref="D144" r:id="rId292" display="Regular Expression Matching"/>
    <hyperlink ref="G144" r:id="rId293" display="Watch"/>
    <hyperlink ref="D145" r:id="rId294" display="Single Number"/>
    <hyperlink ref="G145" r:id="rId295" display="Watch"/>
    <hyperlink ref="D146" r:id="rId296" display="Number of 1 Bits"/>
    <hyperlink ref="G146" r:id="rId297" display="Watch"/>
    <hyperlink ref="D147" r:id="rId298" display="Counting Bits"/>
    <hyperlink ref="G147" r:id="rId299" display="Watch"/>
    <hyperlink ref="D148" r:id="rId300" display="Reverse Bits"/>
    <hyperlink ref="G148" r:id="rId301" display="Watch"/>
    <hyperlink ref="D149" r:id="rId302" display="Missing Number"/>
    <hyperlink ref="G149" r:id="rId303" display="Watch"/>
    <hyperlink ref="D150" r:id="rId304" display="Sum of Two Integers"/>
    <hyperlink ref="G150" r:id="rId305" display="Watch"/>
    <hyperlink ref="D151" r:id="rId306" display="Reverse Integer"/>
    <hyperlink ref="G151" r:id="rId307" display="Wat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2026-10-08T17:11:41Z</dcterms:created>
  <dc:creator>openpyxl</dc:creator>
  <dc:description/>
  <dc:language>en-US</dc:language>
  <cp:lastModifiedBy/>
  <dcterms:modified xsi:type="dcterms:W3CDTF">2026-10-08T17:11:41Z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